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0240" windowHeight="14540" tabRatio="500" firstSheet="1" activeTab="5"/>
  </bookViews>
  <sheets>
    <sheet name="Boshlash" sheetId="1" r:id="rId1"/>
    <sheet name="KPI qoidalari" sheetId="2" r:id="rId2"/>
    <sheet name="KALKULYATOR" sheetId="3" r:id="rId3"/>
    <sheet name="Ssenariylar" sheetId="4" r:id="rId4"/>
    <sheet name="Birli iqtisodiyoti" sheetId="5" r:id="rId5"/>
    <sheet name="Vazifa va KPI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<sst xmlns="http://schemas.openxmlformats.org/spreadsheetml/2006/main" count="266" uniqueCount="245">
  <si>
    <t>CHIQUVCHI ADMIN  KPI VA OYLIK</t>
  </si>
  <si>
    <t>BONUS UCHTA QISMDAN IBORAT</t>
  </si>
  <si>
    <t>Chiquvchi adminning ishi faqat uzaytirish emas. Uning asosiy qiymati — BUTUN MAVJUD BAZANI saqlab turishida. Shuning uchun bonus uchta manbadan yig'iladi va har biri boshqa xatti-harakatni rag'batlantiradi.</t>
  </si>
  <si>
    <t>BONUS A — Ushlab qolish</t>
  </si>
  <si>
    <t>Oy oxiridagi har bir faol o'quvchi uchun 6 000 so'm, ketish foiziga qarab ko'paytiriladi. Bu bonusning eng katta qismi. Mantiq: admin bazani qanchalik to'liq saqlasa, shuncha ko'p oladi.</t>
  </si>
  <si>
    <t>BONUS B — Uzaytirish</t>
  </si>
  <si>
    <t>Kursi tugab keyingi bosqichga o'tgan har bir o'quvchi uchun 45 000 so'm. Bu — aniq yutuq uchun mukofot.</t>
  </si>
  <si>
    <t>BONUS C — Qarzdorlik</t>
  </si>
  <si>
    <t>Oy davomida yig'ilgan qarz summasining 1% i.</t>
  </si>
  <si>
    <t>NEGA AYNAN SHUNDAY BO'LINDI</t>
  </si>
  <si>
    <t>Agar butun bonus faqat uzaytirishga bog'lansa, bitta uzaytirish uchun 120–150 ming so'm to'lash kerak bo'lardi — bu bitta o'quvchidan qoladigan oylik margindan (200–250 ming) juda katta ulush. Bonusni bazaga tarqatsak, har bir o'quvchi uchun 6 000 so'm chiqadi — bu marginning atigi 2.5–3% i.</t>
  </si>
  <si>
    <t>Yana bir sabab: uzaytirish oyning oxirgi haftasidagi ish. Ushlab qolish esa HAR KUNGI ish — davomad, kelmaganga xabar, muammoni erta ko'rish. Bonusning katta qismi kundalik ishga bog'langani to'g'ri.</t>
  </si>
  <si>
    <t>Pagelаr</t>
  </si>
  <si>
    <t>KPI qoidalari</t>
  </si>
  <si>
    <t>Formula, doimiy qiymatlar va uchta koeffitsient jadvali. Bu — qonun matni.</t>
  </si>
  <si>
    <t>KALKULYATOR</t>
  </si>
  <si>
    <t>ASOSIY VARAQ. Sariq katakchalarga oy oxiridagi haqiqiy raqamlarni kiritasiz.</t>
  </si>
  <si>
    <t>Ssenariylar</t>
  </si>
  <si>
    <t>6 xil oy yonma-yon.</t>
  </si>
  <si>
    <t>Birlik iqtisodiyoti</t>
  </si>
  <si>
    <t>Bonus markaz marginidan qancha ulush olishi — tekshiruv hisobi.</t>
  </si>
  <si>
    <t>Vazifa va KPI</t>
  </si>
  <si>
    <t>Har bir kundalik vazifa qaysi KPI'ga va qaysi audit mezoniga ulanishi.</t>
  </si>
  <si>
    <t>ASOSIY FORMULA</t>
  </si>
  <si>
    <t>OYLIK  =  Oklad  +  ( Bonus A  +  Bonus B  +  Bonus C ) × Samaradorlik koeffitsienti  −  Jarimalar</t>
  </si>
  <si>
    <t>RANGLAR</t>
  </si>
  <si>
    <t>Sariq fon, ko'k raqam</t>
  </si>
  <si>
    <t>Ruchnoy to'ldirilishi kerak</t>
  </si>
  <si>
    <t>Oq fon, qora raqam</t>
  </si>
  <si>
    <t>Avtomatik hisoblaydi</t>
  </si>
  <si>
    <t>Kulrang fon</t>
  </si>
  <si>
    <t>Doimiy qiymat. O'zgartirish rahbar qarori bilan.</t>
  </si>
  <si>
    <t>OGOHLANTIRISH</t>
  </si>
  <si>
    <t>Bu shkala — GIPOTEZA. Hozir bizda ketish foizi ham, uzaytirish konversiyasi ham o'lchanmagan. Birinchi 2 oy o'lchaymiz va kafolatlangan minimum to'laymiz, keyin shkalani bir marta qayta sozlaymiz.</t>
  </si>
  <si>
    <t>MUHIM: Bonus A faol o'quvchi soniga bog'liq. Agar hozirgi baza 320 dan sezilarli kam bo'lsa, Birlik iqtisodiyoti pagedagi tekshiruvni albatta bajarish kerak - 1 o'quvchiga to'g'ri keladigan summani o'zgartirish kerak bo'lishi mumkin.</t>
  </si>
  <si>
    <r>
      <t>KPI QOIDALARI VA KOEFFITSIENTLAR</t>
    </r>
    <r>
      <rPr>
        <b/>
        <sz val="14"/>
        <color theme="1"/>
        <rFont val="Arial"/>
        <charset val="1"/>
      </rPr>
      <t xml:space="preserve">
</t>
    </r>
    <r>
      <rPr>
        <sz val="14"/>
        <color theme="1"/>
        <rFont val="Arial"/>
        <charset val="1"/>
      </rPr>
      <t>KALKULYATOR shu pagedagi raqamlarni oladi</t>
    </r>
  </si>
  <si>
    <t>A. ASOSIY FORMULA</t>
  </si>
  <si>
    <t>OYLIK = Oklad + ( A: Faol o'quvchi × 6 000 × Ushlab qolish koef +  B: Uzaytirgan × 45 000 × Uzaytirish koef +  C: Yig'ilgan qarz × 1% ) × Samaradorlik koef − Jarimalar</t>
  </si>
  <si>
    <t>B. DOIMIY QIYMATLAR</t>
  </si>
  <si>
    <t>Oklad</t>
  </si>
  <si>
    <t>Kundalik nazorat, xona, davomad, o'qituvchilarga yordam — jarayon ishi.</t>
  </si>
  <si>
    <t>BONUS A - 1 ta faol o'quvchi uchun</t>
  </si>
  <si>
    <t>Oy oxiridagi faol o'quvchi soniga ko'paytiriladi.</t>
  </si>
  <si>
    <t>BONUS B - 1 ta uzaytirgan o'quvchi uchun</t>
  </si>
  <si>
    <t>Kurs bosqichi tugab, keyingisiga o'tganlar. Yangi kurslar sotgan qo'shimcha</t>
  </si>
  <si>
    <t>BONUS C - yig'ilgan qarzdan foiz</t>
  </si>
  <si>
    <t>Yig'ish 80% dan past bo'lsa — yarmi.</t>
  </si>
  <si>
    <t>Sababi aniqlanmagan ketish - 1 tasi</t>
  </si>
  <si>
    <t>Har bir ketgan o'quvchining sababi yozilishi SHART.</t>
  </si>
  <si>
    <t>Tiket jarimasi - 1 tasi</t>
  </si>
  <si>
    <t>Kundalik nazorat standartlari buzilgani uchun.</t>
  </si>
  <si>
    <t>Kafolatlangan minimum (1–2 oy)</t>
  </si>
  <si>
    <t>Kalibrovka davrida.</t>
  </si>
  <si>
    <t>Oylik yuqori chegara</t>
  </si>
  <si>
    <t>Bundan yuqorisi rahbar tasdig'i bilan to'lanadi.</t>
  </si>
  <si>
    <t>C. USHLAB QOLISH KOEFFITSIENTI — oylik ketish foizi bo'yicha (Bonus A ga)</t>
  </si>
  <si>
    <t>Quyi chegara</t>
  </si>
  <si>
    <t>Yuqori chegara</t>
  </si>
  <si>
    <t>KOEFFITSIENT</t>
  </si>
  <si>
    <t>Izoh</t>
  </si>
  <si>
    <t>Ajoyib. Baza deyarli to'liq saqlangan.</t>
  </si>
  <si>
    <t>Normadan yaxshi.</t>
  </si>
  <si>
    <t>NORMA. Bonus to'liq.</t>
  </si>
  <si>
    <t>Normadan yomon.</t>
  </si>
  <si>
    <t>Jiddiy muammo.</t>
  </si>
  <si>
    <t>Baza oqib ketyapti.</t>
  </si>
  <si>
    <t>D. UZAYTIRISH KOEFFITSIENTI — kursi tugaganlarning qanchasi boshqa kursda o'qidi</t>
  </si>
  <si>
    <t>Normadan keskin past.</t>
  </si>
  <si>
    <t>Minimal chegara.</t>
  </si>
  <si>
    <t>Normadan yuqori.</t>
  </si>
  <si>
    <t>Zo'r natija.</t>
  </si>
  <si>
    <t>E. SAMARADORLIK KOEFFITSIENTI — vazifalarni o'z vaqtida bajarish (butun bonusga)</t>
  </si>
  <si>
    <t>Intizom yo'q.</t>
  </si>
  <si>
    <t>Yetarli emas.</t>
  </si>
  <si>
    <t>NORMA.</t>
  </si>
  <si>
    <t>Namunali xodim.</t>
  </si>
  <si>
    <t>F. TUZATUVCHI QOIDALAR</t>
  </si>
  <si>
    <t xml:space="preserve">«Uzaytirish» ta'rifi </t>
  </si>
  <si>
    <t>Uzaytirish = kursni tugatib boshqa kursda o'qishni boshlasa, o'quvchi keyingi bosqichga o'tishi va shartnoma yangilanishi. Oddiy oylik to'lov uzaytirish HISOBLANMAYDI. Bu ta'rifni buzish butun tizimni qimmatlashtiradi va oy oxirida bahs keltirib chiqaradi.</t>
  </si>
  <si>
    <t>Ketish sababi - 100% majburiy</t>
  </si>
  <si>
    <t>Har bir ketgan o'quvchi uchun CRMda aniq sabab: narx · jadval mos emas · o'qituvchi · natija ko'rinmadi · ko'chib ketdi · sog'liq · boshqa markazga o'tdi. «Noma'lum» tanlansa — jarima. Sabab bilinmasa, sabab bartaraf ham etilmaydi.</t>
  </si>
  <si>
    <t>Nazoratdan tashqari holatlar</t>
  </si>
  <si>
    <t>Ko'chib ketish, sog'liq, oilaviy sharoit - ketish foizidan CHIQARILADI. Adminni o'zi ta'sir qila olmaydigan narsa uchun jazolamaymiz.</t>
  </si>
  <si>
    <t>Bonus A - faqat HAQIQIY faol o'quvchi</t>
  </si>
  <si>
    <t>Oy oxirida darsga qatnashayotgan va to'lovi joyida bo'lgan o'quvchilar. 30 kundan ortiq kelmagan yoki 45 kundan ortiq qarzi bor o'quvchi «faol» hisoblanmaydi. Aks holda raqam sun'iy oshiriladi</t>
  </si>
  <si>
    <t>Qarzdorlik bonusi sharti</t>
  </si>
  <si>
    <t>Yig'ish foizi 80% dan past bo'lsa bonus foizi yarmiga tushadi (1% - 0.5%) bu 10 sanadan keyin undirilgan summaning foizdan bonus qilib beriladi</t>
  </si>
  <si>
    <t>Tiket sabablari</t>
  </si>
  <si>
    <t>Xona nazorati o'tkazilmadi, kelmagan o'quvchiga xabar yuborilmadi, qarzdorga aloqaga chiqilmadi, ketish sababi yozilmadi, kutish zonasi tartibsiz, o'qituvchi so'rovi 2 kundan ortiq javobsiz qoldi.</t>
  </si>
  <si>
    <t>Kutish zonasi — bizning ustunligimiz</t>
  </si>
  <si>
    <t>Yashirin mijoz auditida 11-mezon bo'yicha 2 ball olganmiz. Buni saqlash chiquvchi adminning javobgarligi.</t>
  </si>
  <si>
    <t>Kalibrovka davri</t>
  </si>
  <si>
    <t>Birinchi 2 oy kafolatlangan minimum ishlaydi. 3-oydan bekor qilinadi.</t>
  </si>
  <si>
    <r>
      <t>OYLIK KALKULYATORI</t>
    </r>
    <r>
      <rPr>
        <b/>
        <sz val="14"/>
        <color theme="1"/>
        <rFont val="Arial"/>
        <charset val="1"/>
      </rPr>
      <t xml:space="preserve">
</t>
    </r>
    <r>
      <rPr>
        <sz val="14"/>
        <color theme="1"/>
        <rFont val="Arial"/>
        <charset val="1"/>
      </rPr>
      <t>Sariq yacheykalarga oy oxiridagi HAQIQIY raqamlarni kiritish kerak</t>
    </r>
  </si>
  <si>
    <t>OY OXIRIDAGI HAQIQIY RAQAMLAR</t>
  </si>
  <si>
    <t>Oy BOSHIDAGI faol o'quvchi soni</t>
  </si>
  <si>
    <t>LMS ma'lumot</t>
  </si>
  <si>
    <t>Oy davomida ketgan (nazoratdagi sabablar)</t>
  </si>
  <si>
    <t>Oy OXIRIDAGI faol o'quvchi soni</t>
  </si>
  <si>
    <t>Yangi qo'shilganlar bilan birga. BONUS A shundan hisoblanadi.</t>
  </si>
  <si>
    <t>Kursi tugagan o'quvchi soni</t>
  </si>
  <si>
    <t>Shu oyda bosqichni tamomlaganlar.</t>
  </si>
  <si>
    <t>Ulardan keyingi bosqichga o'tganlar</t>
  </si>
  <si>
    <t>BONUS B shundan.</t>
  </si>
  <si>
    <t>Oy boshidagi qarzdorlik summasi</t>
  </si>
  <si>
    <t>Oy davomida yig'ilgan qarz summasi</t>
  </si>
  <si>
    <t>BONUS C shundan.</t>
  </si>
  <si>
    <t>Samaradorlik — vazifalar o'z vaqtida</t>
  </si>
  <si>
    <t>amoCRM hisoboti.</t>
  </si>
  <si>
    <t>Sababi aniqlanmagan ketishlar soni</t>
  </si>
  <si>
    <t>Tiket soni</t>
  </si>
  <si>
    <t>KO'RSATKICHLAR (avtomatik)</t>
  </si>
  <si>
    <t>Ketish foizi (otток)</t>
  </si>
  <si>
    <t>Norma: 6–8%.</t>
  </si>
  <si>
    <t>Uzaytirish konversiyasi</t>
  </si>
  <si>
    <t>Norma: 65–76%.</t>
  </si>
  <si>
    <t>Qarzdorlik yig'ilishi</t>
  </si>
  <si>
    <t>Norma: 80% dan yuqori.</t>
  </si>
  <si>
    <t>KOEFFITSIENTLAR (avtomatik)</t>
  </si>
  <si>
    <t>Ushlab qolish koeffitsienti</t>
  </si>
  <si>
    <t>Ketish foizi bo'yicha, C-jadval.</t>
  </si>
  <si>
    <t>Uzaytirish koeffitsienti</t>
  </si>
  <si>
    <t>D-jadval.</t>
  </si>
  <si>
    <t>Samaradorlik koeffitsienti</t>
  </si>
  <si>
    <t>E-jadval.</t>
  </si>
  <si>
    <t>Qarzdorlik bonus foizi</t>
  </si>
  <si>
    <t>OYLIK HISOBI</t>
  </si>
  <si>
    <t>O'zgarmas.</t>
  </si>
  <si>
    <t>BONUS A — ushlab qolish</t>
  </si>
  <si>
    <t>Faol o'quvchi × 6 000 × koeffitsient.</t>
  </si>
  <si>
    <t>BONUS B — uzaytirish</t>
  </si>
  <si>
    <t>Uzaytirgan × 45 000 × koeffitsient.</t>
  </si>
  <si>
    <t>BONUS C — qarzdorlik</t>
  </si>
  <si>
    <t>Yig'ilgan summaning foizi.</t>
  </si>
  <si>
    <t>Jami bonus × samaradorlik</t>
  </si>
  <si>
    <t>Samaradorlik butun bonusni ko'paytiradi.</t>
  </si>
  <si>
    <t>Jarima — sababi aniqlanmagan ketish</t>
  </si>
  <si>
    <t>Jarima — tiketlar</t>
  </si>
  <si>
    <t>HISOBLANGAN OYLIK</t>
  </si>
  <si>
    <t>Oklad + bonus − jarimalar.</t>
  </si>
  <si>
    <t>Kafolat bilan (faqat 1–2 oy)</t>
  </si>
  <si>
    <t>Kalibrovka davrida to'lanadigan summa.</t>
  </si>
  <si>
    <r>
      <t>6 XIL OY — CHIQUVCHI ADMIN QANCHA OLADI</t>
    </r>
    <r>
      <rPr>
        <b/>
        <sz val="14"/>
        <color theme="1"/>
        <rFont val="Arial"/>
        <charset val="1"/>
      </rPr>
      <t xml:space="preserve">
</t>
    </r>
    <r>
      <rPr>
        <sz val="14"/>
        <color theme="1"/>
        <rFont val="Arial"/>
        <charset val="1"/>
      </rPr>
      <t>Ko'k raqamlarni o'zgartirib ko'rishingiz mumkin. Jarimalar bu jadvalda hisobga olinmagan.</t>
    </r>
  </si>
  <si>
    <t>Ssenariy</t>
  </si>
  <si>
    <t>Boshida
faol</t>
  </si>
  <si>
    <t>Ketgan</t>
  </si>
  <si>
    <t>Oxirida
faol</t>
  </si>
  <si>
    <t>Kursi
tugagan</t>
  </si>
  <si>
    <t>Uzay-
tirgan</t>
  </si>
  <si>
    <t>Yig'ilgan
qarz</t>
  </si>
  <si>
    <t>Samarador-
lik</t>
  </si>
  <si>
    <t>Ketish
%</t>
  </si>
  <si>
    <t>Uzaytirish
%</t>
  </si>
  <si>
    <t>Bonus A</t>
  </si>
  <si>
    <t>Bonus B</t>
  </si>
  <si>
    <t>JAMI OYLIK</t>
  </si>
  <si>
    <t>Zaif oy</t>
  </si>
  <si>
    <t>Ketish 13%, uzaytirish 50%. Kafolat ishlaydi.</t>
  </si>
  <si>
    <t>Normadan past</t>
  </si>
  <si>
    <t>Ketish 9.4% - koeffitsient 0.80 ga tushdi.</t>
  </si>
  <si>
    <t>NORMA</t>
  </si>
  <si>
    <t>Bizdan kutilayotgan barqaror oy.</t>
  </si>
  <si>
    <t>Yaxshi oy</t>
  </si>
  <si>
    <t>Ketish 5.2%, uzaytirish 79.5%.</t>
  </si>
  <si>
    <t>Kuchli oy</t>
  </si>
  <si>
    <t>Ketish 3.6%, uzaytirish 86.4%.</t>
  </si>
  <si>
    <t>Uzaytirdi, USHLAB QOLMADI</t>
  </si>
  <si>
    <t>Uzaytirish 86% - zo'r. Lekin ketish 13.9%.</t>
  </si>
  <si>
    <t>SHU JADVALDAN CHIQADIGAN XULOSA</t>
  </si>
  <si>
    <t>• Oxirgi qator: admin uzaytirishda zo'r ishlagan (86%), lekin 46 ta o'quvchi kurs O'RTASIDA ketib qolgan. Bonus A koeffitsienti 0.40 ga tushadi va u «Yaxshi oy» adminidan sezilarli kam oladi.</t>
  </si>
  <si>
    <t>• Bonus A bonusning eng katta qismi — bu ataylab shunday. Chiquvchi adminning asosiy ishi oy oxiridagi uzaytirish qo'ng'irog'i emas, kundalik davomad va muammoni erta ko'rish.</t>
  </si>
  <si>
    <t>• Zaif oyda hisoblangan summa kafolatlangan minimumdan past chiqadi — birinchi 2 oyda kafolat ishlaydi.</t>
  </si>
  <si>
    <r>
      <t>BIRLIK IQTISODIYOTI — TEKSHIRUV HISOBI</t>
    </r>
    <r>
      <rPr>
        <b/>
        <sz val="14"/>
        <color theme="1"/>
        <rFont val="Arial"/>
        <charset val="1"/>
      </rPr>
      <t xml:space="preserve">
</t>
    </r>
    <r>
      <rPr>
        <sz val="14"/>
        <color theme="1"/>
        <rFont val="Arial"/>
        <charset val="1"/>
      </rPr>
      <t>Bonus markaz marginidan qancha ulush olayotganini ko'rsatadi. Sariq yacheykalarni o'zimi to'ldiramiz</t>
    </r>
  </si>
  <si>
    <t>BOSHLANG'ICH RAQAMLAR</t>
  </si>
  <si>
    <t>Kurs narxi (1 oy, 1 o'quvchi)</t>
  </si>
  <si>
    <t>Sentyabrdan.</t>
  </si>
  <si>
    <t>O'qituvchi ulushi</t>
  </si>
  <si>
    <t>50/50 va 60/40 orasidagi o'rtacha.</t>
  </si>
  <si>
    <t>Markazga qoladigan margin (1 o'quvchi / 1 oy)</t>
  </si>
  <si>
    <t>O'qituvchidan keyingi summa. Ijara, marketing, oyliklar shundan chiqadi.</t>
  </si>
  <si>
    <t>Oy oxiridagi faol o'quvchi soni</t>
  </si>
  <si>
    <t>3_KALKULYATOR bilan bir xil bo'lsin.</t>
  </si>
  <si>
    <t>MARKAZNING OYLIK MARGINI</t>
  </si>
  <si>
    <t>Barcha xarajatlar shundan qoplanadi.</t>
  </si>
  <si>
    <t>BONUS ULUSHI</t>
  </si>
  <si>
    <t>Bonus A - 1 o'quvchi uchun</t>
  </si>
  <si>
    <t>Doimiy qiymat.</t>
  </si>
  <si>
    <t>Bonus A 1 o'quvchi marginidan ulushi</t>
  </si>
  <si>
    <t>3% dan past bo'lsa — sog'lom.</t>
  </si>
  <si>
    <t>Bonus B - 1 uzaytirish uchun</t>
  </si>
  <si>
    <t>Uzaytirish qancha oylik daromad keltiradi</t>
  </si>
  <si>
    <t>Keyingi bosqich necha oy davom etadi.</t>
  </si>
  <si>
    <t>1 uzaytirish keltiradigan margin</t>
  </si>
  <si>
    <t>Bonus B shu margindan ulushi</t>
  </si>
  <si>
    <t>5% dan past bo'lsa — sog'lom.</t>
  </si>
  <si>
    <t>Chiquvchi admin oyligi (NORMA)</t>
  </si>
  <si>
    <t>Kalkulyatordan olinadi.</t>
  </si>
  <si>
    <t>Oylik markaz marginidan ulushi</t>
  </si>
  <si>
    <t>10% dan past bo'lsa — sog'lom.</t>
  </si>
  <si>
    <t>QANDAY O'QISH KERAK</t>
  </si>
  <si>
    <t>Agar 20-qator 10% dan oshsa</t>
  </si>
  <si>
    <t>Chiquvchi admin markaz marginining juda katta qismini olyapti. Ikkita yo'l bor: yo faol o'quvchi sonini oshirish, yo Bonus A dagi 1 000 so'mni pasaytirish.</t>
  </si>
  <si>
    <t>Agar 14-qator 3% dan oshsa</t>
  </si>
  <si>
    <t>1 o'quvchiga to'g'ri keladigan bonus qimmat. Bu odatda faol o'quvchi soni kam bo'lganda emas, balki margin past bo'lganda (o'qituvchi ulushi yuqori) yuz beradi.</t>
  </si>
  <si>
    <t>Agar 18-qator 5% dan oshsa</t>
  </si>
  <si>
    <t>Uzaytirish bonusi qimmat. Lekin avval 16-qatorni tekshiring: agar keyingi bosqich 4 oy emas, 2 oy bo'lsa, bonus haqiqatan ham baland.</t>
  </si>
  <si>
    <t>Ikkala admin birgalikda</t>
  </si>
  <si>
    <t>Kiruvchi (6–7 mln) + chiquvchi (6–7 mln) = 12–14 mln. Bu margin­ning 20% idan oshmasligi kerak. Ya'ni markaz oylik margini kamida 60–70 mln bo'lishi lozim — bu taxminan 270–310 ta faol o'quvchi degani.</t>
  </si>
  <si>
    <r>
      <t>HAR BIR VAZIFA QAYSI KPI'GA ULANADI</t>
    </r>
    <r>
      <rPr>
        <b/>
        <sz val="14"/>
        <color theme="1"/>
        <rFont val="Arial"/>
        <charset val="1"/>
      </rPr>
      <t xml:space="preserve">
</t>
    </r>
    <r>
      <rPr>
        <sz val="14"/>
        <color theme="1"/>
        <rFont val="Arial"/>
        <charset val="1"/>
      </rPr>
      <t>Hech bir vazifa «shunchaki bajariladi» bo'lmasin - har biri o'lchanadigan natijaga ulanadi.</t>
    </r>
  </si>
  <si>
    <t>№</t>
  </si>
  <si>
    <t>Kundalik vazifa</t>
  </si>
  <si>
    <t>Qaysi KPI'ga ta'sir qiladi</t>
  </si>
  <si>
    <t>Audit mezoni</t>
  </si>
  <si>
    <t>Nega aynan shunday</t>
  </si>
  <si>
    <t>Kunlik davomad nazorati</t>
  </si>
  <si>
    <t>BONUS A (ushlab qolish)</t>
  </si>
  <si>
    <t>-</t>
  </si>
  <si>
    <t>Ketish birdan bo'lmaydi. Odam avval 2–3 dars qoldiradi. Davomad -  erta ogohlantirish tizimi</t>
  </si>
  <si>
    <t>Kelmagan o'quvchiga o'sha kuni xabar</t>
  </si>
  <si>
    <t>BONUS A</t>
  </si>
  <si>
    <t>24 soatdan keyingi xabarning ta'siri keskin kamayadi.</t>
  </si>
  <si>
    <t>Ketish sababini aniqlash</t>
  </si>
  <si>
    <t>Jarima (aniqlanmagan sabab)</t>
  </si>
  <si>
    <t>Sabab bilinmasa, bartaraf ham etilmaydi. Bu ma'lumot marketing va o'qituvchilar uchun ham kerak.</t>
  </si>
  <si>
    <t>Kurs tugayotgan guruhlar bilan ishlash</t>
  </si>
  <si>
    <t>BONUS B (uzaytirish)</t>
  </si>
  <si>
    <t>Kurs tugashidan 3 hafta oldin boshlanadi, oxirgi kuni emas.</t>
  </si>
  <si>
    <t>Qarzdorlarga aloqaga chiqish</t>
  </si>
  <si>
    <t>BONUS C</t>
  </si>
  <si>
    <t>Qarz eskirgan sari yig'ilish ehtimoli pasayadi.</t>
  </si>
  <si>
    <t>Har kuni xona va texnika nazorati</t>
  </si>
  <si>
    <t>Tiket</t>
  </si>
  <si>
    <t>10-mezon (bizda 0 ball)</t>
  </si>
  <si>
    <t>Auditda bino va xona holati bo'yicha 0 ball olganmiz. Faqat kundalik nazorat bilan ko'tariladi.</t>
  </si>
  <si>
    <t>Kutish zonasi tartibi</t>
  </si>
  <si>
    <t>11-mezon (bizda 2 ball)</t>
  </si>
  <si>
    <t>Bizning kam sonli ustunligimiz. Saqlab qolish kerak.</t>
  </si>
  <si>
    <t>Devordagi natijalar taxtasi</t>
  </si>
  <si>
    <t>12-mezon (bizda 0 ball)</t>
  </si>
  <si>
    <t>Marketing tayyorlaydi, chiquvchi admin joyida yangilab turadi.</t>
  </si>
  <si>
    <t>O'qituvchi so'rovlari (material, jihoz)</t>
  </si>
  <si>
    <t>Tiket - BONUS A</t>
  </si>
  <si>
    <t>O'qituvchi noroziligi bevosita o'quvchi ketishiga aylanadi.</t>
  </si>
  <si>
    <t>CRM gigiyenasi</t>
  </si>
  <si>
    <t>Butun bonusni ko'paytiradi yoki kamaytiradi.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</si>
</sst>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#,##0&quot; so'm&quot;"/>
    <numFmt numFmtId="177" formatCode="0.0%"/>
  </numFmts>
  <fonts count="37">
    <font>
      <sz val="11"/>
      <color theme="1"/>
      <name val="Calibri"/>
      <charset val="1"/>
    </font>
    <font>
      <b/>
      <sz val="24"/>
      <color theme="1"/>
      <name val="Arial"/>
      <charset val="1"/>
    </font>
    <font>
      <b/>
      <sz val="14"/>
      <color theme="1"/>
      <name val="Arial"/>
      <charset val="1"/>
    </font>
    <font>
      <b/>
      <sz val="9"/>
      <color theme="1"/>
      <name val="Arial"/>
      <charset val="1"/>
    </font>
    <font>
      <sz val="10"/>
      <color theme="1"/>
      <name val="Arial"/>
      <charset val="1"/>
    </font>
    <font>
      <b/>
      <sz val="10"/>
      <color theme="1"/>
      <name val="Arial"/>
      <charset val="1"/>
    </font>
    <font>
      <b/>
      <sz val="11"/>
      <color theme="1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i/>
      <sz val="9"/>
      <color rgb="FF595959"/>
      <name val="Arial"/>
      <charset val="1"/>
    </font>
    <font>
      <b/>
      <sz val="10"/>
      <name val="Arial"/>
      <charset val="1"/>
    </font>
    <font>
      <b/>
      <sz val="8"/>
      <color theme="1"/>
      <name val="Arial"/>
      <charset val="1"/>
    </font>
    <font>
      <sz val="9"/>
      <color theme="1"/>
      <name val="Arial"/>
      <charset val="1"/>
    </font>
    <font>
      <b/>
      <sz val="12"/>
      <name val="Arial"/>
      <charset val="1"/>
    </font>
    <font>
      <b/>
      <sz val="22"/>
      <color theme="1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4"/>
      <color theme="1"/>
      <name val="Arial"/>
      <charset val="1"/>
    </font>
  </fonts>
  <fills count="42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8" tint="0.8"/>
        <bgColor rgb="FF333333"/>
      </patternFill>
    </fill>
    <fill>
      <patternFill patternType="solid">
        <fgColor rgb="FFE2EFDA"/>
        <bgColor rgb="FFDEEAF6"/>
      </patternFill>
    </fill>
    <fill>
      <patternFill patternType="solid">
        <fgColor theme="4" tint="0.6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DEEAF6"/>
        <bgColor rgb="FFE2EFDA"/>
      </patternFill>
    </fill>
    <fill>
      <patternFill patternType="solid">
        <fgColor theme="8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5" fillId="0" borderId="0" applyBorder="0" applyAlignment="0" applyProtection="0"/>
    <xf numFmtId="44" fontId="15" fillId="0" borderId="0" applyBorder="0" applyAlignment="0" applyProtection="0"/>
    <xf numFmtId="9" fontId="15" fillId="0" borderId="0" applyBorder="0" applyAlignment="0" applyProtection="0"/>
    <xf numFmtId="41" fontId="15" fillId="0" borderId="0" applyBorder="0" applyAlignment="0" applyProtection="0"/>
    <xf numFmtId="42" fontId="15" fillId="0" borderId="0" applyBorder="0" applyAlignment="0" applyProtection="0"/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1" borderId="13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2" borderId="16" applyNumberFormat="0" applyAlignment="0" applyProtection="0">
      <alignment vertical="center"/>
    </xf>
    <xf numFmtId="0" fontId="26" fillId="13" borderId="17" applyNumberFormat="0" applyAlignment="0" applyProtection="0">
      <alignment vertical="center"/>
    </xf>
    <xf numFmtId="0" fontId="27" fillId="13" borderId="16" applyNumberFormat="0" applyAlignment="0" applyProtection="0">
      <alignment vertical="center"/>
    </xf>
    <xf numFmtId="0" fontId="28" fillId="14" borderId="18" applyNumberFormat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30" fillId="0" borderId="20" applyNumberFormat="0" applyFill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</cellStyleXfs>
  <cellXfs count="1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/>
    </xf>
    <xf numFmtId="0" fontId="5" fillId="0" borderId="9" xfId="0" applyFont="1" applyBorder="1" applyAlignment="1">
      <alignment vertical="top" wrapText="1"/>
    </xf>
    <xf numFmtId="0" fontId="4" fillId="0" borderId="9" xfId="0" applyFont="1" applyBorder="1" applyAlignment="1">
      <alignment vertical="top" wrapText="1"/>
    </xf>
    <xf numFmtId="0" fontId="4" fillId="4" borderId="9" xfId="0" applyFont="1" applyFill="1" applyBorder="1" applyAlignment="1">
      <alignment vertical="top" wrapText="1"/>
    </xf>
    <xf numFmtId="0" fontId="6" fillId="5" borderId="10" xfId="0" applyFont="1" applyFill="1" applyBorder="1" applyAlignment="1">
      <alignment horizontal="left"/>
    </xf>
    <xf numFmtId="0" fontId="6" fillId="5" borderId="11" xfId="0" applyFont="1" applyFill="1" applyBorder="1" applyAlignment="1">
      <alignment horizontal="left"/>
    </xf>
    <xf numFmtId="0" fontId="6" fillId="5" borderId="12" xfId="0" applyFont="1" applyFill="1" applyBorder="1" applyAlignment="1">
      <alignment horizontal="left"/>
    </xf>
    <xf numFmtId="0" fontId="0" fillId="0" borderId="9" xfId="0" applyBorder="1"/>
    <xf numFmtId="0" fontId="7" fillId="0" borderId="9" xfId="0" applyFont="1" applyBorder="1"/>
    <xf numFmtId="176" fontId="8" fillId="6" borderId="9" xfId="0" applyNumberFormat="1" applyFont="1" applyFill="1" applyBorder="1" applyAlignment="1">
      <alignment horizontal="center"/>
    </xf>
    <xf numFmtId="0" fontId="9" fillId="0" borderId="9" xfId="0" applyFont="1" applyBorder="1"/>
    <xf numFmtId="177" fontId="8" fillId="6" borderId="9" xfId="0" applyNumberFormat="1" applyFont="1" applyFill="1" applyBorder="1" applyAlignment="1">
      <alignment horizontal="center"/>
    </xf>
    <xf numFmtId="176" fontId="10" fillId="7" borderId="9" xfId="0" applyNumberFormat="1" applyFont="1" applyFill="1" applyBorder="1" applyAlignment="1">
      <alignment horizontal="center"/>
    </xf>
    <xf numFmtId="3" fontId="8" fillId="6" borderId="9" xfId="0" applyNumberFormat="1" applyFont="1" applyFill="1" applyBorder="1" applyAlignment="1">
      <alignment horizontal="center"/>
    </xf>
    <xf numFmtId="0" fontId="10" fillId="0" borderId="9" xfId="0" applyFont="1" applyBorder="1"/>
    <xf numFmtId="176" fontId="10" fillId="4" borderId="9" xfId="0" applyNumberFormat="1" applyFont="1" applyFill="1" applyBorder="1" applyAlignment="1">
      <alignment horizontal="center"/>
    </xf>
    <xf numFmtId="176" fontId="10" fillId="0" borderId="9" xfId="0" applyNumberFormat="1" applyFont="1" applyBorder="1" applyAlignment="1">
      <alignment horizontal="center"/>
    </xf>
    <xf numFmtId="10" fontId="10" fillId="4" borderId="9" xfId="0" applyNumberFormat="1" applyFont="1" applyFill="1" applyBorder="1" applyAlignment="1">
      <alignment horizontal="center"/>
    </xf>
    <xf numFmtId="177" fontId="10" fillId="4" borderId="9" xfId="0" applyNumberFormat="1" applyFont="1" applyFill="1" applyBorder="1" applyAlignment="1">
      <alignment horizontal="center"/>
    </xf>
    <xf numFmtId="0" fontId="10" fillId="0" borderId="9" xfId="0" applyFont="1" applyBorder="1" applyAlignment="1">
      <alignment vertical="top" wrapText="1"/>
    </xf>
    <xf numFmtId="0" fontId="7" fillId="0" borderId="9" xfId="0" applyFont="1" applyBorder="1" applyAlignment="1">
      <alignment vertical="top" wrapText="1"/>
    </xf>
    <xf numFmtId="0" fontId="11" fillId="5" borderId="9" xfId="0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center" vertical="center" wrapText="1"/>
    </xf>
    <xf numFmtId="0" fontId="7" fillId="0" borderId="9" xfId="0" applyFont="1" applyBorder="1"/>
    <xf numFmtId="177" fontId="7" fillId="0" borderId="9" xfId="0" applyNumberFormat="1" applyFont="1" applyBorder="1" applyAlignment="1">
      <alignment horizontal="center"/>
    </xf>
    <xf numFmtId="176" fontId="7" fillId="0" borderId="9" xfId="0" applyNumberFormat="1" applyFont="1" applyBorder="1" applyAlignment="1">
      <alignment horizontal="center"/>
    </xf>
    <xf numFmtId="0" fontId="12" fillId="0" borderId="9" xfId="0" applyFont="1" applyBorder="1"/>
    <xf numFmtId="0" fontId="10" fillId="0" borderId="9" xfId="0" applyFont="1" applyBorder="1"/>
    <xf numFmtId="0" fontId="6" fillId="0" borderId="9" xfId="0" applyFont="1" applyBorder="1"/>
    <xf numFmtId="0" fontId="7" fillId="0" borderId="10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0" fontId="12" fillId="0" borderId="10" xfId="0" applyFont="1" applyBorder="1" applyAlignment="1">
      <alignment horizontal="left"/>
    </xf>
    <xf numFmtId="0" fontId="12" fillId="0" borderId="11" xfId="0" applyFont="1" applyBorder="1" applyAlignment="1">
      <alignment horizontal="left"/>
    </xf>
    <xf numFmtId="0" fontId="12" fillId="0" borderId="12" xfId="0" applyFont="1" applyBorder="1" applyAlignment="1">
      <alignment horizontal="left"/>
    </xf>
    <xf numFmtId="0" fontId="0" fillId="0" borderId="10" xfId="0" applyFont="1" applyBorder="1" applyAlignment="1">
      <alignment horizontal="left"/>
    </xf>
    <xf numFmtId="0" fontId="0" fillId="0" borderId="11" xfId="0" applyFont="1" applyBorder="1" applyAlignment="1">
      <alignment horizontal="left"/>
    </xf>
    <xf numFmtId="0" fontId="0" fillId="0" borderId="12" xfId="0" applyFont="1" applyBorder="1" applyAlignment="1">
      <alignment horizontal="left"/>
    </xf>
    <xf numFmtId="177" fontId="10" fillId="0" borderId="9" xfId="0" applyNumberFormat="1" applyFont="1" applyBorder="1" applyAlignment="1">
      <alignment horizontal="center"/>
    </xf>
    <xf numFmtId="2" fontId="10" fillId="0" borderId="9" xfId="0" applyNumberFormat="1" applyFont="1" applyBorder="1" applyAlignment="1">
      <alignment horizontal="center"/>
    </xf>
    <xf numFmtId="10" fontId="10" fillId="0" borderId="9" xfId="0" applyNumberFormat="1" applyFont="1" applyBorder="1" applyAlignment="1">
      <alignment horizontal="center"/>
    </xf>
    <xf numFmtId="176" fontId="7" fillId="0" borderId="9" xfId="0" applyNumberFormat="1" applyFont="1" applyBorder="1" applyAlignment="1">
      <alignment horizontal="right"/>
    </xf>
    <xf numFmtId="0" fontId="10" fillId="4" borderId="9" xfId="0" applyFont="1" applyFill="1" applyBorder="1"/>
    <xf numFmtId="0" fontId="10" fillId="8" borderId="9" xfId="0" applyFont="1" applyFill="1" applyBorder="1"/>
    <xf numFmtId="0" fontId="10" fillId="6" borderId="9" xfId="0" applyFont="1" applyFill="1" applyBorder="1"/>
    <xf numFmtId="0" fontId="13" fillId="0" borderId="9" xfId="0" applyFont="1" applyBorder="1"/>
    <xf numFmtId="176" fontId="13" fillId="4" borderId="9" xfId="0" applyNumberFormat="1" applyFont="1" applyFill="1" applyBorder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6" fillId="3" borderId="10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13" fillId="0" borderId="9" xfId="0" applyFont="1" applyBorder="1" applyAlignment="1">
      <alignment vertical="center" wrapText="1"/>
    </xf>
    <xf numFmtId="0" fontId="6" fillId="3" borderId="10" xfId="0" applyFont="1" applyFill="1" applyBorder="1" applyAlignment="1">
      <alignment horizontal="left"/>
    </xf>
    <xf numFmtId="0" fontId="6" fillId="3" borderId="11" xfId="0" applyFont="1" applyFill="1" applyBorder="1" applyAlignment="1">
      <alignment horizontal="left"/>
    </xf>
    <xf numFmtId="0" fontId="6" fillId="3" borderId="12" xfId="0" applyFont="1" applyFill="1" applyBorder="1" applyAlignment="1">
      <alignment horizontal="left"/>
    </xf>
    <xf numFmtId="176" fontId="8" fillId="7" borderId="9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4" fillId="0" borderId="9" xfId="0" applyFont="1" applyBorder="1"/>
    <xf numFmtId="177" fontId="8" fillId="7" borderId="9" xfId="0" applyNumberFormat="1" applyFont="1" applyFill="1" applyBorder="1" applyAlignment="1">
      <alignment horizontal="center"/>
    </xf>
    <xf numFmtId="0" fontId="10" fillId="7" borderId="9" xfId="0" applyFont="1" applyFill="1" applyBorder="1"/>
    <xf numFmtId="0" fontId="10" fillId="7" borderId="10" xfId="0" applyFont="1" applyFill="1" applyBorder="1" applyAlignment="1">
      <alignment horizontal="center"/>
    </xf>
    <xf numFmtId="0" fontId="10" fillId="7" borderId="12" xfId="0" applyFont="1" applyFill="1" applyBorder="1" applyAlignment="1">
      <alignment horizontal="center"/>
    </xf>
    <xf numFmtId="0" fontId="10" fillId="7" borderId="9" xfId="0" applyFont="1" applyFill="1" applyBorder="1"/>
    <xf numFmtId="2" fontId="10" fillId="0" borderId="10" xfId="0" applyNumberFormat="1" applyFont="1" applyBorder="1" applyAlignment="1">
      <alignment horizontal="center"/>
    </xf>
    <xf numFmtId="2" fontId="10" fillId="0" borderId="12" xfId="0" applyNumberFormat="1" applyFont="1" applyBorder="1" applyAlignment="1">
      <alignment horizontal="center"/>
    </xf>
    <xf numFmtId="177" fontId="7" fillId="4" borderId="9" xfId="0" applyNumberFormat="1" applyFont="1" applyFill="1" applyBorder="1" applyAlignment="1">
      <alignment horizontal="center"/>
    </xf>
    <xf numFmtId="2" fontId="10" fillId="4" borderId="10" xfId="0" applyNumberFormat="1" applyFont="1" applyFill="1" applyBorder="1" applyAlignment="1">
      <alignment horizontal="center"/>
    </xf>
    <xf numFmtId="2" fontId="10" fillId="4" borderId="12" xfId="0" applyNumberFormat="1" applyFont="1" applyFill="1" applyBorder="1" applyAlignment="1">
      <alignment horizontal="center"/>
    </xf>
    <xf numFmtId="0" fontId="6" fillId="3" borderId="9" xfId="0" applyFont="1" applyFill="1" applyBorder="1" applyAlignment="1">
      <alignment horizontal="left"/>
    </xf>
    <xf numFmtId="0" fontId="0" fillId="3" borderId="9" xfId="0" applyFont="1" applyFill="1" applyBorder="1" applyAlignment="1">
      <alignment horizontal="left"/>
    </xf>
    <xf numFmtId="0" fontId="14" fillId="9" borderId="1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6" fillId="10" borderId="10" xfId="0" applyFont="1" applyFill="1" applyBorder="1" applyAlignment="1">
      <alignment horizontal="center"/>
    </xf>
    <xf numFmtId="0" fontId="6" fillId="10" borderId="12" xfId="0" applyFont="1" applyFill="1" applyBorder="1" applyAlignment="1">
      <alignment horizontal="center"/>
    </xf>
    <xf numFmtId="0" fontId="7" fillId="0" borderId="10" xfId="0" applyFont="1" applyBorder="1" applyAlignment="1">
      <alignment horizontal="center" vertical="top" wrapText="1"/>
    </xf>
    <xf numFmtId="0" fontId="7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 wrapText="1"/>
    </xf>
    <xf numFmtId="0" fontId="5" fillId="0" borderId="9" xfId="0" applyFont="1" applyBorder="1"/>
    <xf numFmtId="0" fontId="7" fillId="0" borderId="9" xfId="0" applyFont="1" applyBorder="1" applyAlignment="1">
      <alignment vertical="top" wrapText="1"/>
    </xf>
    <xf numFmtId="0" fontId="6" fillId="0" borderId="10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5" fillId="0" borderId="9" xfId="0" applyFont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2CC"/>
      <rgbColor rgb="00DEEAF6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2F2F2"/>
      <rgbColor rgb="00E2EFDA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595959"/>
      <rgbColor rgb="00969696"/>
      <rgbColor rgb="001F3864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showGridLines="0" workbookViewId="0">
      <pane ySplit="4" topLeftCell="A7" activePane="bottomLeft" state="frozen"/>
      <selection/>
      <selection pane="bottomLeft" activeCell="C27" sqref="C27"/>
    </sheetView>
  </sheetViews>
  <sheetFormatPr defaultColWidth="8.6796875" defaultRowHeight="16.8" outlineLevelCol="2"/>
  <cols>
    <col min="1" max="1" width="4" customWidth="1"/>
    <col min="2" max="2" width="34" customWidth="1"/>
    <col min="3" max="3" width="95" customWidth="1"/>
  </cols>
  <sheetData>
    <row r="1" spans="1:3">
      <c r="A1" s="90" t="s">
        <v>0</v>
      </c>
      <c r="B1" s="91"/>
      <c r="C1" s="92"/>
    </row>
    <row r="2" spans="1:3">
      <c r="A2" s="93"/>
      <c r="B2" s="94"/>
      <c r="C2" s="95"/>
    </row>
    <row r="3" spans="1:3">
      <c r="A3" s="93"/>
      <c r="B3" s="94"/>
      <c r="C3" s="95"/>
    </row>
    <row r="4" spans="1:3">
      <c r="A4" s="96"/>
      <c r="B4" s="97"/>
      <c r="C4" s="98"/>
    </row>
    <row r="5" ht="15" customHeight="1" spans="1:3">
      <c r="A5" s="18"/>
      <c r="B5" s="99" t="s">
        <v>1</v>
      </c>
      <c r="C5" s="100"/>
    </row>
    <row r="6" ht="49" customHeight="1" spans="1:3">
      <c r="A6" s="18"/>
      <c r="B6" s="101" t="s">
        <v>2</v>
      </c>
      <c r="C6" s="102"/>
    </row>
    <row r="7" ht="39" customHeight="1" spans="1:3">
      <c r="A7" s="18"/>
      <c r="B7" s="103" t="s">
        <v>3</v>
      </c>
      <c r="C7" s="104" t="s">
        <v>4</v>
      </c>
    </row>
    <row r="8" ht="25.5" customHeight="1" spans="1:3">
      <c r="A8" s="18"/>
      <c r="B8" s="103" t="s">
        <v>5</v>
      </c>
      <c r="C8" s="104" t="s">
        <v>6</v>
      </c>
    </row>
    <row r="9" ht="25.5" customHeight="1" spans="1:3">
      <c r="A9" s="18"/>
      <c r="B9" s="103" t="s">
        <v>7</v>
      </c>
      <c r="C9" s="104" t="s">
        <v>8</v>
      </c>
    </row>
    <row r="10" ht="15" customHeight="1" spans="1:3">
      <c r="A10" s="18"/>
      <c r="B10" s="99" t="s">
        <v>9</v>
      </c>
      <c r="C10" s="100"/>
    </row>
    <row r="11" ht="15" customHeight="1" spans="1:3">
      <c r="A11" s="18"/>
      <c r="B11" s="105"/>
      <c r="C11" s="106" t="s">
        <v>10</v>
      </c>
    </row>
    <row r="12" ht="29" spans="1:3">
      <c r="A12" s="18"/>
      <c r="B12" s="105"/>
      <c r="C12" s="106" t="s">
        <v>11</v>
      </c>
    </row>
    <row r="13" ht="18" customHeight="1" spans="1:3">
      <c r="A13" s="18"/>
      <c r="B13" s="99" t="s">
        <v>12</v>
      </c>
      <c r="C13" s="100"/>
    </row>
    <row r="14" ht="39" customHeight="1" spans="1:3">
      <c r="A14" s="18"/>
      <c r="B14" s="105" t="s">
        <v>13</v>
      </c>
      <c r="C14" s="106" t="s">
        <v>14</v>
      </c>
    </row>
    <row r="15" ht="15" customHeight="1" spans="1:3">
      <c r="A15" s="18"/>
      <c r="B15" s="105" t="s">
        <v>15</v>
      </c>
      <c r="C15" s="106" t="s">
        <v>16</v>
      </c>
    </row>
    <row r="16" spans="1:3">
      <c r="A16" s="18"/>
      <c r="B16" s="105" t="s">
        <v>17</v>
      </c>
      <c r="C16" s="106" t="s">
        <v>18</v>
      </c>
    </row>
    <row r="17" ht="15" customHeight="1" spans="1:3">
      <c r="A17" s="18"/>
      <c r="B17" s="105" t="s">
        <v>19</v>
      </c>
      <c r="C17" s="106" t="s">
        <v>20</v>
      </c>
    </row>
    <row r="18" ht="15" customHeight="1" spans="1:3">
      <c r="A18" s="18"/>
      <c r="B18" s="105" t="s">
        <v>21</v>
      </c>
      <c r="C18" s="106" t="s">
        <v>22</v>
      </c>
    </row>
    <row r="19" ht="15" customHeight="1" spans="1:3">
      <c r="A19" s="18"/>
      <c r="B19" s="107" t="s">
        <v>23</v>
      </c>
      <c r="C19" s="108"/>
    </row>
    <row r="20" ht="15" customHeight="1" spans="1:3">
      <c r="A20" s="18"/>
      <c r="B20" s="105"/>
      <c r="C20" s="106" t="s">
        <v>24</v>
      </c>
    </row>
    <row r="21" ht="15" customHeight="1" spans="1:3">
      <c r="A21" s="18"/>
      <c r="B21" s="99" t="s">
        <v>25</v>
      </c>
      <c r="C21" s="100"/>
    </row>
    <row r="22" ht="15" customHeight="1" spans="1:3">
      <c r="A22" s="18"/>
      <c r="B22" s="105" t="s">
        <v>26</v>
      </c>
      <c r="C22" s="106" t="s">
        <v>27</v>
      </c>
    </row>
    <row r="23" spans="1:3">
      <c r="A23" s="18"/>
      <c r="B23" s="105" t="s">
        <v>28</v>
      </c>
      <c r="C23" s="106" t="s">
        <v>29</v>
      </c>
    </row>
    <row r="24" ht="25.5" customHeight="1" spans="1:3">
      <c r="A24" s="18"/>
      <c r="B24" s="109" t="s">
        <v>30</v>
      </c>
      <c r="C24" s="106" t="s">
        <v>31</v>
      </c>
    </row>
    <row r="25" ht="15" customHeight="1" spans="1:3">
      <c r="A25" s="18"/>
      <c r="B25" s="99" t="s">
        <v>32</v>
      </c>
      <c r="C25" s="100"/>
    </row>
    <row r="26" ht="29" spans="1:3">
      <c r="A26" s="18"/>
      <c r="B26" s="25"/>
      <c r="C26" s="106" t="s">
        <v>33</v>
      </c>
    </row>
    <row r="27" ht="32" customHeight="1" spans="1:3">
      <c r="A27" s="18"/>
      <c r="B27" s="25"/>
      <c r="C27" s="106" t="s">
        <v>34</v>
      </c>
    </row>
    <row r="28" ht="15" customHeight="1"/>
    <row r="29" ht="15" customHeight="1"/>
    <row r="30" ht="15" customHeight="1"/>
    <row r="32" ht="39" customHeight="1"/>
    <row r="33" ht="39" customHeight="1"/>
  </sheetData>
  <mergeCells count="8">
    <mergeCell ref="B5:C5"/>
    <mergeCell ref="B6:C6"/>
    <mergeCell ref="B10:C10"/>
    <mergeCell ref="B13:C13"/>
    <mergeCell ref="B19:C19"/>
    <mergeCell ref="B21:C21"/>
    <mergeCell ref="B25:C25"/>
    <mergeCell ref="A1:C4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1"/>
  <sheetViews>
    <sheetView showGridLines="0" workbookViewId="0">
      <pane ySplit="4" topLeftCell="A5" activePane="bottomLeft" state="frozen"/>
      <selection/>
      <selection pane="bottomLeft" activeCell="B12" sqref="B12"/>
    </sheetView>
  </sheetViews>
  <sheetFormatPr defaultColWidth="8.6796875" defaultRowHeight="16.8" outlineLevelCol="5"/>
  <cols>
    <col min="1" max="1" width="4" customWidth="1"/>
    <col min="2" max="2" width="44" customWidth="1"/>
    <col min="3" max="4" width="18" customWidth="1"/>
    <col min="5" max="5" width="0.5234375" customWidth="1"/>
    <col min="6" max="6" width="62" customWidth="1"/>
  </cols>
  <sheetData>
    <row r="1" spans="1:6">
      <c r="A1" s="58" t="s">
        <v>35</v>
      </c>
      <c r="B1" s="59"/>
      <c r="C1" s="59"/>
      <c r="D1" s="59"/>
      <c r="E1" s="59"/>
      <c r="F1" s="60"/>
    </row>
    <row r="2" spans="1:6">
      <c r="A2" s="61"/>
      <c r="B2" s="62"/>
      <c r="C2" s="62"/>
      <c r="D2" s="62"/>
      <c r="E2" s="62"/>
      <c r="F2" s="63"/>
    </row>
    <row r="3" spans="1:6">
      <c r="A3" s="61"/>
      <c r="B3" s="62"/>
      <c r="C3" s="62"/>
      <c r="D3" s="62"/>
      <c r="E3" s="62"/>
      <c r="F3" s="63"/>
    </row>
    <row r="4" spans="1:6">
      <c r="A4" s="64"/>
      <c r="B4" s="65"/>
      <c r="C4" s="65"/>
      <c r="D4" s="65"/>
      <c r="E4" s="65"/>
      <c r="F4" s="66"/>
    </row>
    <row r="5" ht="19.5" customHeight="1" spans="1:6">
      <c r="A5" s="67" t="s">
        <v>36</v>
      </c>
      <c r="B5" s="68"/>
      <c r="C5" s="68"/>
      <c r="D5" s="68"/>
      <c r="E5" s="68"/>
      <c r="F5" s="69"/>
    </row>
    <row r="6" ht="21.75" customHeight="1" spans="1:6">
      <c r="A6" s="18"/>
      <c r="B6" s="70" t="s">
        <v>37</v>
      </c>
      <c r="C6" s="70"/>
      <c r="D6" s="70"/>
      <c r="E6" s="70"/>
      <c r="F6" s="70"/>
    </row>
    <row r="7" ht="21.75" customHeight="1" spans="1:6">
      <c r="A7" s="18"/>
      <c r="B7" s="70"/>
      <c r="C7" s="70"/>
      <c r="D7" s="70"/>
      <c r="E7" s="70"/>
      <c r="F7" s="70"/>
    </row>
    <row r="8" spans="1:6">
      <c r="A8" s="71" t="s">
        <v>38</v>
      </c>
      <c r="B8" s="72"/>
      <c r="C8" s="72"/>
      <c r="D8" s="72"/>
      <c r="E8" s="72"/>
      <c r="F8" s="73"/>
    </row>
    <row r="9" ht="19.5" customHeight="1" spans="1:6">
      <c r="A9" s="18"/>
      <c r="B9" s="34" t="s">
        <v>39</v>
      </c>
      <c r="C9" s="74">
        <v>3000000</v>
      </c>
      <c r="D9" s="75"/>
      <c r="E9" s="76"/>
      <c r="F9" s="77" t="s">
        <v>40</v>
      </c>
    </row>
    <row r="10" spans="1:6">
      <c r="A10" s="18"/>
      <c r="B10" s="34" t="s">
        <v>41</v>
      </c>
      <c r="C10" s="74">
        <v>1000</v>
      </c>
      <c r="D10" s="75"/>
      <c r="E10" s="76"/>
      <c r="F10" s="77" t="s">
        <v>42</v>
      </c>
    </row>
    <row r="11" spans="1:6">
      <c r="A11" s="18"/>
      <c r="B11" s="34" t="s">
        <v>43</v>
      </c>
      <c r="C11" s="74">
        <v>35000</v>
      </c>
      <c r="D11" s="75"/>
      <c r="E11" s="76"/>
      <c r="F11" s="77" t="s">
        <v>44</v>
      </c>
    </row>
    <row r="12" spans="1:6">
      <c r="A12" s="18"/>
      <c r="B12" s="34" t="s">
        <v>45</v>
      </c>
      <c r="C12" s="78">
        <v>0.01</v>
      </c>
      <c r="D12" s="75"/>
      <c r="E12" s="76"/>
      <c r="F12" s="77" t="s">
        <v>46</v>
      </c>
    </row>
    <row r="13" spans="1:6">
      <c r="A13" s="18"/>
      <c r="B13" s="34" t="s">
        <v>47</v>
      </c>
      <c r="C13" s="74">
        <v>50000</v>
      </c>
      <c r="D13" s="75"/>
      <c r="E13" s="76"/>
      <c r="F13" s="77" t="s">
        <v>48</v>
      </c>
    </row>
    <row r="14" spans="1:6">
      <c r="A14" s="18"/>
      <c r="B14" s="34" t="s">
        <v>49</v>
      </c>
      <c r="C14" s="74">
        <v>50000</v>
      </c>
      <c r="D14" s="75"/>
      <c r="E14" s="76"/>
      <c r="F14" s="77" t="s">
        <v>50</v>
      </c>
    </row>
    <row r="15" spans="1:6">
      <c r="A15" s="18"/>
      <c r="B15" s="34" t="s">
        <v>51</v>
      </c>
      <c r="C15" s="74">
        <v>4500000</v>
      </c>
      <c r="D15" s="75"/>
      <c r="E15" s="76"/>
      <c r="F15" s="77" t="s">
        <v>52</v>
      </c>
    </row>
    <row r="16" spans="1:6">
      <c r="A16" s="18"/>
      <c r="B16" s="34" t="s">
        <v>53</v>
      </c>
      <c r="C16" s="74">
        <v>7500000</v>
      </c>
      <c r="D16" s="75"/>
      <c r="E16" s="76"/>
      <c r="F16" s="77" t="s">
        <v>54</v>
      </c>
    </row>
    <row r="17" spans="1:6">
      <c r="A17" s="71" t="s">
        <v>55</v>
      </c>
      <c r="B17" s="72"/>
      <c r="C17" s="72"/>
      <c r="D17" s="72"/>
      <c r="E17" s="72"/>
      <c r="F17" s="73"/>
    </row>
    <row r="18" spans="1:6">
      <c r="A18" s="18"/>
      <c r="B18" s="79" t="s">
        <v>56</v>
      </c>
      <c r="C18" s="79" t="s">
        <v>57</v>
      </c>
      <c r="D18" s="80" t="s">
        <v>58</v>
      </c>
      <c r="E18" s="81"/>
      <c r="F18" s="82" t="s">
        <v>59</v>
      </c>
    </row>
    <row r="19" ht="19.5" customHeight="1" spans="1:6">
      <c r="A19" s="18"/>
      <c r="B19" s="35">
        <v>0</v>
      </c>
      <c r="C19" s="35">
        <v>0.0399</v>
      </c>
      <c r="D19" s="83">
        <v>1.15</v>
      </c>
      <c r="E19" s="84"/>
      <c r="F19" s="77" t="s">
        <v>60</v>
      </c>
    </row>
    <row r="20" spans="1:6">
      <c r="A20" s="18"/>
      <c r="B20" s="35">
        <v>0.04</v>
      </c>
      <c r="C20" s="35">
        <v>0.0599</v>
      </c>
      <c r="D20" s="83">
        <v>1.1</v>
      </c>
      <c r="E20" s="84"/>
      <c r="F20" s="77" t="s">
        <v>61</v>
      </c>
    </row>
    <row r="21" spans="1:6">
      <c r="A21" s="18"/>
      <c r="B21" s="85">
        <v>0.06</v>
      </c>
      <c r="C21" s="85">
        <v>0.0799</v>
      </c>
      <c r="D21" s="86">
        <v>1</v>
      </c>
      <c r="E21" s="87"/>
      <c r="F21" s="77" t="s">
        <v>62</v>
      </c>
    </row>
    <row r="22" spans="1:6">
      <c r="A22" s="18"/>
      <c r="B22" s="35">
        <v>0.08</v>
      </c>
      <c r="C22" s="35">
        <v>0.0999</v>
      </c>
      <c r="D22" s="83">
        <v>0.8</v>
      </c>
      <c r="E22" s="84"/>
      <c r="F22" s="77" t="s">
        <v>63</v>
      </c>
    </row>
    <row r="23" spans="1:6">
      <c r="A23" s="18"/>
      <c r="B23" s="35">
        <v>0.1</v>
      </c>
      <c r="C23" s="35">
        <v>0.1199</v>
      </c>
      <c r="D23" s="83">
        <v>0.6</v>
      </c>
      <c r="E23" s="84"/>
      <c r="F23" s="77" t="s">
        <v>64</v>
      </c>
    </row>
    <row r="24" spans="1:6">
      <c r="A24" s="18"/>
      <c r="B24" s="35">
        <v>0.12</v>
      </c>
      <c r="C24" s="35">
        <v>1</v>
      </c>
      <c r="D24" s="83">
        <v>0.4</v>
      </c>
      <c r="E24" s="84"/>
      <c r="F24" s="77" t="s">
        <v>65</v>
      </c>
    </row>
    <row r="25" spans="1:6">
      <c r="A25" s="88" t="s">
        <v>66</v>
      </c>
      <c r="B25" s="89"/>
      <c r="C25" s="89"/>
      <c r="D25" s="89"/>
      <c r="E25" s="89"/>
      <c r="F25" s="89"/>
    </row>
    <row r="26" spans="1:6">
      <c r="A26" s="18"/>
      <c r="B26" s="79" t="s">
        <v>56</v>
      </c>
      <c r="C26" s="79" t="s">
        <v>57</v>
      </c>
      <c r="D26" s="80" t="s">
        <v>58</v>
      </c>
      <c r="E26" s="81"/>
      <c r="F26" s="82" t="s">
        <v>59</v>
      </c>
    </row>
    <row r="27" spans="1:6">
      <c r="A27" s="18"/>
      <c r="B27" s="35">
        <v>0</v>
      </c>
      <c r="C27" s="35">
        <v>0.5499</v>
      </c>
      <c r="D27" s="83">
        <v>0.5</v>
      </c>
      <c r="E27" s="84"/>
      <c r="F27" s="77" t="s">
        <v>67</v>
      </c>
    </row>
    <row r="28" ht="19.5" customHeight="1" spans="1:6">
      <c r="A28" s="18"/>
      <c r="B28" s="35">
        <v>0.55</v>
      </c>
      <c r="C28" s="35">
        <v>0.6499</v>
      </c>
      <c r="D28" s="83">
        <v>0.8</v>
      </c>
      <c r="E28" s="84"/>
      <c r="F28" s="77" t="s">
        <v>68</v>
      </c>
    </row>
    <row r="29" spans="1:6">
      <c r="A29" s="18"/>
      <c r="B29" s="85">
        <v>0.65</v>
      </c>
      <c r="C29" s="85">
        <v>0.7599</v>
      </c>
      <c r="D29" s="86">
        <v>1</v>
      </c>
      <c r="E29" s="87"/>
      <c r="F29" s="77" t="s">
        <v>62</v>
      </c>
    </row>
    <row r="30" spans="1:6">
      <c r="A30" s="18"/>
      <c r="B30" s="35">
        <v>0.76</v>
      </c>
      <c r="C30" s="35">
        <v>0.8599</v>
      </c>
      <c r="D30" s="83">
        <v>1.15</v>
      </c>
      <c r="E30" s="84"/>
      <c r="F30" s="77" t="s">
        <v>69</v>
      </c>
    </row>
    <row r="31" spans="1:6">
      <c r="A31" s="18"/>
      <c r="B31" s="35">
        <v>0.86</v>
      </c>
      <c r="C31" s="35">
        <v>1</v>
      </c>
      <c r="D31" s="83">
        <v>1.25</v>
      </c>
      <c r="E31" s="84"/>
      <c r="F31" s="77" t="s">
        <v>70</v>
      </c>
    </row>
    <row r="32" spans="1:6">
      <c r="A32" s="71" t="s">
        <v>71</v>
      </c>
      <c r="B32" s="72"/>
      <c r="C32" s="72"/>
      <c r="D32" s="72"/>
      <c r="E32" s="72"/>
      <c r="F32" s="73"/>
    </row>
    <row r="33" spans="1:6">
      <c r="A33" s="18"/>
      <c r="B33" s="79" t="s">
        <v>56</v>
      </c>
      <c r="C33" s="79" t="s">
        <v>57</v>
      </c>
      <c r="D33" s="80" t="s">
        <v>58</v>
      </c>
      <c r="E33" s="81"/>
      <c r="F33" s="82" t="s">
        <v>59</v>
      </c>
    </row>
    <row r="34" spans="1:6">
      <c r="A34" s="18"/>
      <c r="B34" s="35">
        <v>0</v>
      </c>
      <c r="C34" s="35">
        <v>0.7999</v>
      </c>
      <c r="D34" s="83">
        <v>0.75</v>
      </c>
      <c r="E34" s="84"/>
      <c r="F34" s="77" t="s">
        <v>72</v>
      </c>
    </row>
    <row r="35" spans="1:6">
      <c r="A35" s="18"/>
      <c r="B35" s="35">
        <v>0.8</v>
      </c>
      <c r="C35" s="35">
        <v>0.8999</v>
      </c>
      <c r="D35" s="83">
        <v>0.9</v>
      </c>
      <c r="E35" s="84"/>
      <c r="F35" s="77" t="s">
        <v>73</v>
      </c>
    </row>
    <row r="36" ht="19.5" customHeight="1" spans="1:6">
      <c r="A36" s="18"/>
      <c r="B36" s="85">
        <v>0.9</v>
      </c>
      <c r="C36" s="85">
        <v>0.9499</v>
      </c>
      <c r="D36" s="86">
        <v>1</v>
      </c>
      <c r="E36" s="87"/>
      <c r="F36" s="77" t="s">
        <v>74</v>
      </c>
    </row>
    <row r="37" spans="1:6">
      <c r="A37" s="18"/>
      <c r="B37" s="35">
        <v>0.95</v>
      </c>
      <c r="C37" s="35">
        <v>1</v>
      </c>
      <c r="D37" s="83">
        <v>1.05</v>
      </c>
      <c r="E37" s="84"/>
      <c r="F37" s="77" t="s">
        <v>75</v>
      </c>
    </row>
    <row r="38" spans="1:6">
      <c r="A38" s="71" t="s">
        <v>76</v>
      </c>
      <c r="B38" s="72"/>
      <c r="C38" s="72"/>
      <c r="D38" s="72"/>
      <c r="E38" s="72"/>
      <c r="F38" s="73"/>
    </row>
    <row r="39" spans="1:6">
      <c r="A39" s="18"/>
      <c r="B39" s="30" t="s">
        <v>77</v>
      </c>
      <c r="C39" s="31" t="s">
        <v>78</v>
      </c>
      <c r="D39" s="31"/>
      <c r="E39" s="31"/>
      <c r="F39" s="31"/>
    </row>
    <row r="40" spans="1:6">
      <c r="A40" s="18"/>
      <c r="B40" s="30" t="s">
        <v>79</v>
      </c>
      <c r="C40" s="31" t="s">
        <v>80</v>
      </c>
      <c r="D40" s="31"/>
      <c r="E40" s="31"/>
      <c r="F40" s="31"/>
    </row>
    <row r="41" spans="1:6">
      <c r="A41" s="18"/>
      <c r="B41" s="30" t="s">
        <v>81</v>
      </c>
      <c r="C41" s="31" t="s">
        <v>82</v>
      </c>
      <c r="D41" s="31"/>
      <c r="E41" s="31"/>
      <c r="F41" s="31"/>
    </row>
    <row r="42" ht="35" customHeight="1" spans="1:6">
      <c r="A42" s="18"/>
      <c r="B42" s="30" t="s">
        <v>83</v>
      </c>
      <c r="C42" s="31" t="s">
        <v>84</v>
      </c>
      <c r="D42" s="31"/>
      <c r="E42" s="31"/>
      <c r="F42" s="31"/>
    </row>
    <row r="43" ht="32" customHeight="1" spans="1:6">
      <c r="A43" s="18"/>
      <c r="B43" s="30" t="s">
        <v>85</v>
      </c>
      <c r="C43" s="31" t="s">
        <v>86</v>
      </c>
      <c r="D43" s="31"/>
      <c r="E43" s="31"/>
      <c r="F43" s="31"/>
    </row>
    <row r="44" ht="33" customHeight="1" spans="1:6">
      <c r="A44" s="18"/>
      <c r="B44" s="30" t="s">
        <v>87</v>
      </c>
      <c r="C44" s="31" t="s">
        <v>88</v>
      </c>
      <c r="D44" s="31"/>
      <c r="E44" s="31"/>
      <c r="F44" s="31"/>
    </row>
    <row r="45" ht="22" customHeight="1" spans="1:6">
      <c r="A45" s="18"/>
      <c r="B45" s="30" t="s">
        <v>89</v>
      </c>
      <c r="C45" s="31" t="s">
        <v>90</v>
      </c>
      <c r="D45" s="31"/>
      <c r="E45" s="31"/>
      <c r="F45" s="31"/>
    </row>
    <row r="46" ht="21" customHeight="1" spans="1:6">
      <c r="A46" s="18"/>
      <c r="B46" s="30" t="s">
        <v>91</v>
      </c>
      <c r="C46" s="31" t="s">
        <v>92</v>
      </c>
      <c r="D46" s="31"/>
      <c r="E46" s="31"/>
      <c r="F46" s="31"/>
    </row>
    <row r="47" ht="36" customHeight="1"/>
    <row r="48" ht="21.75" customHeight="1"/>
    <row r="49" ht="36" customHeight="1"/>
    <row r="50" ht="36" customHeight="1"/>
    <row r="51" ht="21.75" customHeight="1"/>
  </sheetData>
  <mergeCells count="41">
    <mergeCell ref="A5:F5"/>
    <mergeCell ref="A8:F8"/>
    <mergeCell ref="D9:E9"/>
    <mergeCell ref="D10:E10"/>
    <mergeCell ref="D11:E11"/>
    <mergeCell ref="D12:E12"/>
    <mergeCell ref="D13:E13"/>
    <mergeCell ref="D14:E14"/>
    <mergeCell ref="D15:E15"/>
    <mergeCell ref="D16:E16"/>
    <mergeCell ref="A17:F17"/>
    <mergeCell ref="D18:E18"/>
    <mergeCell ref="D19:E19"/>
    <mergeCell ref="D20:E20"/>
    <mergeCell ref="D21:E21"/>
    <mergeCell ref="D22:E22"/>
    <mergeCell ref="D23:E23"/>
    <mergeCell ref="D24:E24"/>
    <mergeCell ref="D26:E26"/>
    <mergeCell ref="D27:E27"/>
    <mergeCell ref="D28:E28"/>
    <mergeCell ref="D29:E29"/>
    <mergeCell ref="D30:E30"/>
    <mergeCell ref="D31:E31"/>
    <mergeCell ref="A32:F32"/>
    <mergeCell ref="D33:E33"/>
    <mergeCell ref="D34:E34"/>
    <mergeCell ref="D35:E35"/>
    <mergeCell ref="D36:E36"/>
    <mergeCell ref="D37:E37"/>
    <mergeCell ref="A38:F38"/>
    <mergeCell ref="C39:F39"/>
    <mergeCell ref="C40:F40"/>
    <mergeCell ref="C41:F41"/>
    <mergeCell ref="C42:F42"/>
    <mergeCell ref="C43:F43"/>
    <mergeCell ref="C44:F44"/>
    <mergeCell ref="C45:F45"/>
    <mergeCell ref="C46:F46"/>
    <mergeCell ref="B6:F7"/>
    <mergeCell ref="A1:F4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showGridLines="0" workbookViewId="0">
      <pane ySplit="4" topLeftCell="A11" activePane="bottomLeft" state="frozen"/>
      <selection/>
      <selection pane="bottomLeft" activeCell="A10" sqref="A10"/>
    </sheetView>
  </sheetViews>
  <sheetFormatPr defaultColWidth="8.6796875" defaultRowHeight="16.8" outlineLevelCol="5"/>
  <cols>
    <col min="1" max="1" width="4" customWidth="1"/>
    <col min="2" max="2" width="52" customWidth="1"/>
    <col min="3" max="3" width="17.5703125" customWidth="1"/>
    <col min="4" max="4" width="6" customWidth="1"/>
    <col min="5" max="5" width="9.375" customWidth="1"/>
    <col min="6" max="6" width="29.1640625" customWidth="1"/>
  </cols>
  <sheetData>
    <row r="1" spans="1:6">
      <c r="A1" s="1" t="s">
        <v>93</v>
      </c>
      <c r="B1" s="2"/>
      <c r="C1" s="2"/>
      <c r="D1" s="2"/>
      <c r="E1" s="2"/>
      <c r="F1" s="3"/>
    </row>
    <row r="2" spans="1:6">
      <c r="A2" s="4"/>
      <c r="B2" s="5"/>
      <c r="C2" s="5"/>
      <c r="D2" s="5"/>
      <c r="E2" s="5"/>
      <c r="F2" s="6"/>
    </row>
    <row r="3" spans="1:6">
      <c r="A3" s="4"/>
      <c r="B3" s="5"/>
      <c r="C3" s="5"/>
      <c r="D3" s="5"/>
      <c r="E3" s="5"/>
      <c r="F3" s="6"/>
    </row>
    <row r="4" spans="1:6">
      <c r="A4" s="7"/>
      <c r="B4" s="8"/>
      <c r="C4" s="8"/>
      <c r="D4" s="8"/>
      <c r="E4" s="8"/>
      <c r="F4" s="9"/>
    </row>
    <row r="5" ht="19.5" customHeight="1" spans="1:6">
      <c r="A5" s="15" t="s">
        <v>94</v>
      </c>
      <c r="B5" s="16"/>
      <c r="C5" s="16"/>
      <c r="D5" s="16"/>
      <c r="E5" s="16"/>
      <c r="F5" s="17"/>
    </row>
    <row r="6" spans="1:6">
      <c r="A6" s="18"/>
      <c r="B6" s="34" t="s">
        <v>95</v>
      </c>
      <c r="C6" s="24">
        <v>500</v>
      </c>
      <c r="D6" s="43" t="s">
        <v>96</v>
      </c>
      <c r="E6" s="44"/>
      <c r="F6" s="45"/>
    </row>
    <row r="7" spans="1:6">
      <c r="A7" s="18"/>
      <c r="B7" s="34" t="s">
        <v>97</v>
      </c>
      <c r="C7" s="24">
        <v>60</v>
      </c>
      <c r="D7" s="43"/>
      <c r="E7" s="44"/>
      <c r="F7" s="45"/>
    </row>
    <row r="8" spans="1:6">
      <c r="A8" s="18"/>
      <c r="B8" s="34" t="s">
        <v>98</v>
      </c>
      <c r="C8" s="24">
        <v>440</v>
      </c>
      <c r="D8" s="43" t="s">
        <v>99</v>
      </c>
      <c r="E8" s="44"/>
      <c r="F8" s="45"/>
    </row>
    <row r="9" spans="1:6">
      <c r="A9" s="18"/>
      <c r="B9" s="34" t="s">
        <v>100</v>
      </c>
      <c r="C9" s="24">
        <v>40</v>
      </c>
      <c r="D9" s="43" t="s">
        <v>101</v>
      </c>
      <c r="E9" s="44"/>
      <c r="F9" s="45"/>
    </row>
    <row r="10" spans="1:6">
      <c r="A10" s="18"/>
      <c r="B10" s="34" t="s">
        <v>102</v>
      </c>
      <c r="C10" s="24">
        <v>29</v>
      </c>
      <c r="D10" s="43" t="s">
        <v>103</v>
      </c>
      <c r="E10" s="44"/>
      <c r="F10" s="45"/>
    </row>
    <row r="11" spans="1:6">
      <c r="A11" s="18"/>
      <c r="B11" s="34" t="s">
        <v>104</v>
      </c>
      <c r="C11" s="20">
        <v>18000000</v>
      </c>
      <c r="D11" s="46"/>
      <c r="E11" s="47"/>
      <c r="F11" s="48"/>
    </row>
    <row r="12" spans="1:6">
      <c r="A12" s="18"/>
      <c r="B12" s="34" t="s">
        <v>105</v>
      </c>
      <c r="C12" s="20">
        <v>79000000</v>
      </c>
      <c r="D12" s="43" t="s">
        <v>106</v>
      </c>
      <c r="E12" s="44"/>
      <c r="F12" s="45"/>
    </row>
    <row r="13" spans="1:6">
      <c r="A13" s="18"/>
      <c r="B13" s="34" t="s">
        <v>107</v>
      </c>
      <c r="C13" s="22">
        <v>0.93</v>
      </c>
      <c r="D13" s="43" t="s">
        <v>108</v>
      </c>
      <c r="E13" s="44"/>
      <c r="F13" s="45"/>
    </row>
    <row r="14" spans="1:6">
      <c r="A14" s="18"/>
      <c r="B14" s="34" t="s">
        <v>109</v>
      </c>
      <c r="C14" s="24">
        <v>0</v>
      </c>
      <c r="D14" s="46"/>
      <c r="E14" s="47"/>
      <c r="F14" s="48"/>
    </row>
    <row r="15" spans="1:6">
      <c r="A15" s="18"/>
      <c r="B15" s="34" t="s">
        <v>110</v>
      </c>
      <c r="C15" s="24">
        <v>1</v>
      </c>
      <c r="D15" s="46"/>
      <c r="E15" s="47"/>
      <c r="F15" s="48"/>
    </row>
    <row r="16" spans="1:6">
      <c r="A16" s="15" t="s">
        <v>111</v>
      </c>
      <c r="B16" s="16"/>
      <c r="C16" s="16"/>
      <c r="D16" s="16"/>
      <c r="E16" s="16"/>
      <c r="F16" s="17"/>
    </row>
    <row r="17" ht="19.5" customHeight="1" spans="1:6">
      <c r="A17" s="18"/>
      <c r="B17" s="19" t="s">
        <v>112</v>
      </c>
      <c r="C17" s="49">
        <f>IF(C6=0,0,C7/C6)</f>
        <v>0.12</v>
      </c>
      <c r="D17" s="43" t="s">
        <v>113</v>
      </c>
      <c r="E17" s="44"/>
      <c r="F17" s="45"/>
    </row>
    <row r="18" spans="1:6">
      <c r="A18" s="18"/>
      <c r="B18" s="19" t="s">
        <v>114</v>
      </c>
      <c r="C18" s="49">
        <f>IF(C9=0,0,C10/C9)</f>
        <v>0.725</v>
      </c>
      <c r="D18" s="43" t="s">
        <v>115</v>
      </c>
      <c r="E18" s="44"/>
      <c r="F18" s="45"/>
    </row>
    <row r="19" spans="1:6">
      <c r="A19" s="18"/>
      <c r="B19" s="19" t="s">
        <v>116</v>
      </c>
      <c r="C19" s="49">
        <f>IF(C11=0,0,C12/C11)</f>
        <v>4.38888888888889</v>
      </c>
      <c r="D19" s="43" t="s">
        <v>117</v>
      </c>
      <c r="E19" s="44"/>
      <c r="F19" s="45"/>
    </row>
    <row r="20" spans="1:6">
      <c r="A20" s="15" t="s">
        <v>118</v>
      </c>
      <c r="B20" s="16"/>
      <c r="C20" s="16"/>
      <c r="D20" s="16"/>
      <c r="E20" s="16"/>
      <c r="F20" s="17"/>
    </row>
    <row r="21" spans="1:6">
      <c r="A21" s="18"/>
      <c r="B21" s="19" t="s">
        <v>119</v>
      </c>
      <c r="C21" s="50">
        <f>INDEX('KPI qoidalari'!$D$19:$D$24,MATCH(C17,'KPI qoidalari'!$B$19:$B$24,1))</f>
        <v>0.4</v>
      </c>
      <c r="D21" s="43" t="s">
        <v>120</v>
      </c>
      <c r="E21" s="44"/>
      <c r="F21" s="45"/>
    </row>
    <row r="22" ht="19.5" customHeight="1" spans="1:6">
      <c r="A22" s="18"/>
      <c r="B22" s="19" t="s">
        <v>121</v>
      </c>
      <c r="C22" s="50">
        <f>INDEX('KPI qoidalari'!$D$27:$D$31,MATCH(C18,'KPI qoidalari'!$B$27:$B$31,1))</f>
        <v>1</v>
      </c>
      <c r="D22" s="43" t="s">
        <v>122</v>
      </c>
      <c r="E22" s="44"/>
      <c r="F22" s="45"/>
    </row>
    <row r="23" spans="1:6">
      <c r="A23" s="18"/>
      <c r="B23" s="19" t="s">
        <v>123</v>
      </c>
      <c r="C23" s="50">
        <f>INDEX('KPI qoidalari'!$D$34:$D$37,MATCH(C13,'KPI qoidalari'!$B$34:$B$37,1))</f>
        <v>1</v>
      </c>
      <c r="D23" s="43" t="s">
        <v>124</v>
      </c>
      <c r="E23" s="44"/>
      <c r="F23" s="45"/>
    </row>
    <row r="24" spans="1:6">
      <c r="A24" s="18"/>
      <c r="B24" s="19" t="s">
        <v>125</v>
      </c>
      <c r="C24" s="51">
        <f>IF(C19&gt;=0.8,'KPI qoidalari'!$C$12,'KPI qoidalari'!$C$12/2)</f>
        <v>0.01</v>
      </c>
      <c r="D24" s="43" t="s">
        <v>46</v>
      </c>
      <c r="E24" s="44"/>
      <c r="F24" s="45"/>
    </row>
    <row r="25" spans="1:6">
      <c r="A25" s="15" t="s">
        <v>126</v>
      </c>
      <c r="B25" s="16"/>
      <c r="C25" s="16"/>
      <c r="D25" s="16"/>
      <c r="E25" s="16"/>
      <c r="F25" s="17"/>
    </row>
    <row r="26" spans="1:6">
      <c r="A26" s="18"/>
      <c r="B26" s="34" t="s">
        <v>39</v>
      </c>
      <c r="C26" s="52">
        <f>'KPI qoidalari'!$C$9</f>
        <v>3000000</v>
      </c>
      <c r="D26" s="43" t="s">
        <v>127</v>
      </c>
      <c r="E26" s="44"/>
      <c r="F26" s="45"/>
    </row>
    <row r="27" spans="1:6">
      <c r="A27" s="18"/>
      <c r="B27" s="53" t="s">
        <v>128</v>
      </c>
      <c r="C27" s="52">
        <f>C8*'KPI qoidalari'!$C$10*C21</f>
        <v>176000</v>
      </c>
      <c r="D27" s="43" t="s">
        <v>129</v>
      </c>
      <c r="E27" s="44"/>
      <c r="F27" s="45"/>
    </row>
    <row r="28" ht="19.5" customHeight="1" spans="1:6">
      <c r="A28" s="18"/>
      <c r="B28" s="54" t="s">
        <v>130</v>
      </c>
      <c r="C28" s="52">
        <f>C10*'KPI qoidalari'!$C$11*C22</f>
        <v>1015000</v>
      </c>
      <c r="D28" s="43" t="s">
        <v>131</v>
      </c>
      <c r="E28" s="44"/>
      <c r="F28" s="45"/>
    </row>
    <row r="29" ht="18" customHeight="1" spans="1:6">
      <c r="A29" s="18"/>
      <c r="B29" s="55" t="s">
        <v>132</v>
      </c>
      <c r="C29" s="52">
        <f>C12*C24</f>
        <v>790000</v>
      </c>
      <c r="D29" s="43" t="s">
        <v>133</v>
      </c>
      <c r="E29" s="44"/>
      <c r="F29" s="45"/>
    </row>
    <row r="30" ht="18" customHeight="1" spans="1:6">
      <c r="A30" s="18"/>
      <c r="B30" s="34" t="s">
        <v>134</v>
      </c>
      <c r="C30" s="52">
        <f>(C27+C28+C29)*C23</f>
        <v>1981000</v>
      </c>
      <c r="D30" s="43" t="s">
        <v>135</v>
      </c>
      <c r="E30" s="44"/>
      <c r="F30" s="45"/>
    </row>
    <row r="31" ht="18" customHeight="1" spans="1:6">
      <c r="A31" s="18"/>
      <c r="B31" s="34" t="s">
        <v>136</v>
      </c>
      <c r="C31" s="52">
        <f>-C14*'KPI qoidalari'!$C$13</f>
        <v>0</v>
      </c>
      <c r="D31" s="46"/>
      <c r="E31" s="47"/>
      <c r="F31" s="48"/>
    </row>
    <row r="32" ht="18" customHeight="1" spans="1:6">
      <c r="A32" s="18"/>
      <c r="B32" s="34" t="s">
        <v>137</v>
      </c>
      <c r="C32" s="52">
        <f>-C15*'KPI qoidalari'!$C$14</f>
        <v>-50000</v>
      </c>
      <c r="D32" s="46"/>
      <c r="E32" s="47"/>
      <c r="F32" s="48"/>
    </row>
    <row r="33" ht="18" customHeight="1" spans="1:6">
      <c r="A33" s="18"/>
      <c r="B33" s="56" t="s">
        <v>138</v>
      </c>
      <c r="C33" s="57">
        <f>C26+C30+C31+C32</f>
        <v>4931000</v>
      </c>
      <c r="D33" s="43" t="s">
        <v>139</v>
      </c>
      <c r="E33" s="44"/>
      <c r="F33" s="45"/>
    </row>
    <row r="34" ht="18" customHeight="1" spans="1:6">
      <c r="A34" s="18"/>
      <c r="B34" s="56" t="s">
        <v>140</v>
      </c>
      <c r="C34" s="57">
        <f>MAX(C33,'KPI qoidalari'!$C$15)</f>
        <v>4931000</v>
      </c>
      <c r="D34" s="43" t="s">
        <v>141</v>
      </c>
      <c r="E34" s="44"/>
      <c r="F34" s="45"/>
    </row>
    <row r="35" ht="18" customHeight="1"/>
    <row r="36" ht="18" customHeight="1"/>
    <row r="37" ht="18" customHeight="1"/>
  </sheetData>
  <mergeCells count="31">
    <mergeCell ref="A5:F5"/>
    <mergeCell ref="D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A16:F16"/>
    <mergeCell ref="D17:F17"/>
    <mergeCell ref="D18:F18"/>
    <mergeCell ref="D19:F19"/>
    <mergeCell ref="A20:F20"/>
    <mergeCell ref="D21:F21"/>
    <mergeCell ref="D22:F22"/>
    <mergeCell ref="D23:F23"/>
    <mergeCell ref="D24:F24"/>
    <mergeCell ref="A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1:F4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showGridLines="0" topLeftCell="B1" workbookViewId="0">
      <pane ySplit="4" topLeftCell="A5" activePane="bottomLeft" state="frozen"/>
      <selection/>
      <selection pane="bottomLeft" activeCell="B12" sqref="B12:O12"/>
    </sheetView>
  </sheetViews>
  <sheetFormatPr defaultColWidth="8.6796875" defaultRowHeight="16.8"/>
  <cols>
    <col min="1" max="1" width="3" hidden="1" customWidth="1"/>
    <col min="2" max="2" width="27" customWidth="1"/>
    <col min="3" max="14" width="12.5" customWidth="1"/>
    <col min="15" max="15" width="29.421875" customWidth="1"/>
    <col min="16" max="16" width="50" customWidth="1"/>
  </cols>
  <sheetData>
    <row r="1" spans="1:15">
      <c r="A1" s="1" t="s">
        <v>142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1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</row>
    <row r="3" spans="1:1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</row>
    <row r="4" spans="1:15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9"/>
    </row>
    <row r="5" ht="33.75" customHeight="1" spans="1:15">
      <c r="B5" s="32" t="s">
        <v>143</v>
      </c>
      <c r="C5" s="32" t="s">
        <v>144</v>
      </c>
      <c r="D5" s="32" t="s">
        <v>145</v>
      </c>
      <c r="E5" s="32" t="s">
        <v>146</v>
      </c>
      <c r="F5" s="32" t="s">
        <v>147</v>
      </c>
      <c r="G5" s="32" t="s">
        <v>148</v>
      </c>
      <c r="H5" s="32" t="s">
        <v>149</v>
      </c>
      <c r="I5" s="32" t="s">
        <v>150</v>
      </c>
      <c r="J5" s="32" t="s">
        <v>151</v>
      </c>
      <c r="K5" s="32" t="s">
        <v>152</v>
      </c>
      <c r="L5" s="32" t="s">
        <v>153</v>
      </c>
      <c r="M5" s="32" t="s">
        <v>154</v>
      </c>
      <c r="N5" s="32" t="s">
        <v>155</v>
      </c>
      <c r="O5" s="33" t="s">
        <v>59</v>
      </c>
    </row>
    <row r="6" spans="1:15">
      <c r="B6" s="34" t="s">
        <v>156</v>
      </c>
      <c r="C6" s="24">
        <v>320</v>
      </c>
      <c r="D6" s="24">
        <v>42</v>
      </c>
      <c r="E6" s="24">
        <v>300</v>
      </c>
      <c r="F6" s="24">
        <v>38</v>
      </c>
      <c r="G6" s="24">
        <v>19</v>
      </c>
      <c r="H6" s="20">
        <v>9000000</v>
      </c>
      <c r="I6" s="22">
        <v>0.88</v>
      </c>
      <c r="J6" s="35">
        <f t="shared" ref="J6:J11" si="0">D6/C6</f>
        <v>0.13125</v>
      </c>
      <c r="K6" s="35">
        <f t="shared" ref="K6:K11" si="1">G6/F6</f>
        <v>0.5</v>
      </c>
      <c r="L6" s="36">
        <f>E6*'KPI qoidalari'!$C$10*INDEX('KPI qoidalari'!$D$19:$D$24,MATCH(J6,'KPI qoidalari'!$B$19:$B$24,1))</f>
        <v>120000</v>
      </c>
      <c r="M6" s="36">
        <f>G6*'KPI qoidalari'!$C$11*INDEX('KPI qoidalari'!$D$27:$D$31,MATCH(K6,'KPI qoidalari'!$B$27:$B$31,1))</f>
        <v>332500</v>
      </c>
      <c r="N6" s="26">
        <f>'KPI qoidalari'!$C$9+(L6+M6+H6*'KPI qoidalari'!$C$12)*INDEX('KPI qoidalari'!$D$34:$D$37,MATCH(I6,'KPI qoidalari'!$B$34:$B$37,1))</f>
        <v>3488250</v>
      </c>
      <c r="O6" s="37" t="s">
        <v>157</v>
      </c>
    </row>
    <row r="7" spans="1:15">
      <c r="B7" s="34" t="s">
        <v>158</v>
      </c>
      <c r="C7" s="24">
        <v>320</v>
      </c>
      <c r="D7" s="24">
        <v>30</v>
      </c>
      <c r="E7" s="24">
        <v>315</v>
      </c>
      <c r="F7" s="24">
        <v>40</v>
      </c>
      <c r="G7" s="24">
        <v>25</v>
      </c>
      <c r="H7" s="20">
        <v>13000000</v>
      </c>
      <c r="I7" s="22">
        <v>0.91</v>
      </c>
      <c r="J7" s="35">
        <f t="shared" si="0"/>
        <v>0.09375</v>
      </c>
      <c r="K7" s="35">
        <f t="shared" si="1"/>
        <v>0.625</v>
      </c>
      <c r="L7" s="36">
        <f>E7*'KPI qoidalari'!$C$10*INDEX('KPI qoidalari'!$D$19:$D$24,MATCH(J7,'KPI qoidalari'!$B$19:$B$24,1))</f>
        <v>252000</v>
      </c>
      <c r="M7" s="36">
        <f>G7*'KPI qoidalari'!$C$11*INDEX('KPI qoidalari'!$D$27:$D$31,MATCH(K7,'KPI qoidalari'!$B$27:$B$31,1))</f>
        <v>700000</v>
      </c>
      <c r="N7" s="26">
        <f>'KPI qoidalari'!$C$9+(L7+M7+H7*'KPI qoidalari'!$C$12)*INDEX('KPI qoidalari'!$D$34:$D$37,MATCH(I7,'KPI qoidalari'!$B$34:$B$37,1))</f>
        <v>4082000</v>
      </c>
      <c r="O7" s="37" t="s">
        <v>159</v>
      </c>
    </row>
    <row r="8" spans="1:15">
      <c r="B8" s="38" t="s">
        <v>160</v>
      </c>
      <c r="C8" s="24">
        <v>320</v>
      </c>
      <c r="D8" s="24">
        <v>22</v>
      </c>
      <c r="E8" s="24">
        <v>330</v>
      </c>
      <c r="F8" s="24">
        <v>40</v>
      </c>
      <c r="G8" s="24">
        <v>29</v>
      </c>
      <c r="H8" s="20">
        <v>15500000</v>
      </c>
      <c r="I8" s="22">
        <v>0.93</v>
      </c>
      <c r="J8" s="35">
        <f t="shared" si="0"/>
        <v>0.06875</v>
      </c>
      <c r="K8" s="35">
        <f t="shared" si="1"/>
        <v>0.725</v>
      </c>
      <c r="L8" s="36">
        <f>E8*'KPI qoidalari'!$C$10*INDEX('KPI qoidalari'!$D$19:$D$24,MATCH(J8,'KPI qoidalari'!$B$19:$B$24,1))</f>
        <v>330000</v>
      </c>
      <c r="M8" s="36">
        <f>G8*'KPI qoidalari'!$C$11*INDEX('KPI qoidalari'!$D$27:$D$31,MATCH(K8,'KPI qoidalari'!$B$27:$B$31,1))</f>
        <v>1015000</v>
      </c>
      <c r="N8" s="26">
        <f>'KPI qoidalari'!$C$9+(L8+M8+H8*'KPI qoidalari'!$C$12)*INDEX('KPI qoidalari'!$D$34:$D$37,MATCH(I8,'KPI qoidalari'!$B$34:$B$37,1))</f>
        <v>4500000</v>
      </c>
      <c r="O8" s="37" t="s">
        <v>161</v>
      </c>
    </row>
    <row r="9" spans="1:15">
      <c r="B9" s="34" t="s">
        <v>162</v>
      </c>
      <c r="C9" s="24">
        <v>325</v>
      </c>
      <c r="D9" s="24">
        <v>17</v>
      </c>
      <c r="E9" s="24">
        <v>340</v>
      </c>
      <c r="F9" s="24">
        <v>44</v>
      </c>
      <c r="G9" s="24">
        <v>35</v>
      </c>
      <c r="H9" s="20">
        <v>17000000</v>
      </c>
      <c r="I9" s="22">
        <v>0.95</v>
      </c>
      <c r="J9" s="35">
        <f t="shared" si="0"/>
        <v>0.0523076923076923</v>
      </c>
      <c r="K9" s="35">
        <f t="shared" si="1"/>
        <v>0.795454545454545</v>
      </c>
      <c r="L9" s="36">
        <f>E9*'KPI qoidalari'!$C$10*INDEX('KPI qoidalari'!$D$19:$D$24,MATCH(J9,'KPI qoidalari'!$B$19:$B$24,1))</f>
        <v>374000</v>
      </c>
      <c r="M9" s="36">
        <f>G9*'KPI qoidalari'!$C$11*INDEX('KPI qoidalari'!$D$27:$D$31,MATCH(K9,'KPI qoidalari'!$B$27:$B$31,1))</f>
        <v>1408750</v>
      </c>
      <c r="N9" s="26">
        <f>'KPI qoidalari'!$C$9+(L9+M9+H9*'KPI qoidalari'!$C$12)*INDEX('KPI qoidalari'!$D$34:$D$37,MATCH(I9,'KPI qoidalari'!$B$34:$B$37,1))</f>
        <v>5050387.5</v>
      </c>
      <c r="O9" s="37" t="s">
        <v>163</v>
      </c>
    </row>
    <row r="10" spans="1:15">
      <c r="B10" s="34" t="s">
        <v>164</v>
      </c>
      <c r="C10" s="24">
        <v>500</v>
      </c>
      <c r="D10" s="24">
        <v>30</v>
      </c>
      <c r="E10" s="24">
        <v>440</v>
      </c>
      <c r="F10" s="24">
        <v>44</v>
      </c>
      <c r="G10" s="24">
        <v>38</v>
      </c>
      <c r="H10" s="20">
        <v>70000000</v>
      </c>
      <c r="I10" s="22">
        <v>0.96</v>
      </c>
      <c r="J10" s="35">
        <f t="shared" si="0"/>
        <v>0.06</v>
      </c>
      <c r="K10" s="35">
        <f t="shared" si="1"/>
        <v>0.863636363636364</v>
      </c>
      <c r="L10" s="36">
        <f>E10*'KPI qoidalari'!$C$10*INDEX('KPI qoidalari'!$D$19:$D$24,MATCH(J10,'KPI qoidalari'!$B$19:$B$24,1))</f>
        <v>440000</v>
      </c>
      <c r="M10" s="36">
        <f>G10*'KPI qoidalari'!$C$11*INDEX('KPI qoidalari'!$D$27:$D$31,MATCH(K10,'KPI qoidalari'!$B$27:$B$31,1))</f>
        <v>1662500</v>
      </c>
      <c r="N10" s="26">
        <f>'KPI qoidalari'!$C$9+(L10+M10+H10*'KPI qoidalari'!$C$12)*INDEX('KPI qoidalari'!$D$34:$D$37,MATCH(I10,'KPI qoidalari'!$B$34:$B$37,1))</f>
        <v>5942625</v>
      </c>
      <c r="O10" s="37" t="s">
        <v>165</v>
      </c>
    </row>
    <row r="11" spans="1:15">
      <c r="B11" s="34" t="s">
        <v>166</v>
      </c>
      <c r="C11" s="24">
        <v>330</v>
      </c>
      <c r="D11" s="24">
        <v>46</v>
      </c>
      <c r="E11" s="24">
        <v>320</v>
      </c>
      <c r="F11" s="24">
        <v>44</v>
      </c>
      <c r="G11" s="24">
        <v>38</v>
      </c>
      <c r="H11" s="20">
        <v>16000000</v>
      </c>
      <c r="I11" s="22">
        <v>0.92</v>
      </c>
      <c r="J11" s="35">
        <f t="shared" si="0"/>
        <v>0.139393939393939</v>
      </c>
      <c r="K11" s="35">
        <f t="shared" si="1"/>
        <v>0.863636363636364</v>
      </c>
      <c r="L11" s="36">
        <f>E11*'KPI qoidalari'!$C$10*INDEX('KPI qoidalari'!$D$19:$D$24,MATCH(J11,'KPI qoidalari'!$B$19:$B$24,1))</f>
        <v>128000</v>
      </c>
      <c r="M11" s="36">
        <f>G11*'KPI qoidalari'!$C$11*INDEX('KPI qoidalari'!$D$27:$D$31,MATCH(K11,'KPI qoidalari'!$B$27:$B$31,1))</f>
        <v>1662500</v>
      </c>
      <c r="N11" s="26">
        <f>'KPI qoidalari'!$C$9+(L11+M11+H11*'KPI qoidalari'!$C$12)*INDEX('KPI qoidalari'!$D$34:$D$37,MATCH(I11,'KPI qoidalari'!$B$34:$B$37,1))</f>
        <v>4950500</v>
      </c>
      <c r="O11" s="37" t="s">
        <v>167</v>
      </c>
    </row>
    <row r="12" spans="1:15">
      <c r="B12" s="39" t="s">
        <v>168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</row>
    <row r="13" spans="1:15">
      <c r="B13" s="40" t="s">
        <v>169</v>
      </c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2"/>
    </row>
    <row r="14" ht="30" customHeight="1" spans="1:15">
      <c r="B14" s="40" t="s">
        <v>170</v>
      </c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2"/>
    </row>
    <row r="15" ht="30" customHeight="1" spans="1:15">
      <c r="B15" s="40" t="s">
        <v>171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2"/>
    </row>
    <row r="16" ht="30" customHeight="1"/>
  </sheetData>
  <mergeCells count="4">
    <mergeCell ref="B13:O13"/>
    <mergeCell ref="B14:O14"/>
    <mergeCell ref="B15:O15"/>
    <mergeCell ref="A1:O4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showGridLines="0" workbookViewId="0">
      <pane ySplit="4" topLeftCell="A5" activePane="bottomLeft" state="frozen"/>
      <selection/>
      <selection pane="bottomLeft" activeCell="B26" sqref="B26"/>
    </sheetView>
  </sheetViews>
  <sheetFormatPr defaultColWidth="8.6796875" defaultRowHeight="16.8" outlineLevelCol="4"/>
  <cols>
    <col min="1" max="1" width="4" customWidth="1"/>
    <col min="2" max="2" width="48" customWidth="1"/>
    <col min="3" max="3" width="22" customWidth="1"/>
    <col min="4" max="4" width="8" customWidth="1"/>
    <col min="5" max="5" width="62" customWidth="1"/>
  </cols>
  <sheetData>
    <row r="1" spans="1:5">
      <c r="A1" s="1" t="s">
        <v>172</v>
      </c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7"/>
      <c r="B4" s="8"/>
      <c r="C4" s="8"/>
      <c r="D4" s="8"/>
      <c r="E4" s="9"/>
    </row>
    <row r="5" ht="19.5" customHeight="1" spans="1:5">
      <c r="A5" s="15" t="s">
        <v>173</v>
      </c>
      <c r="B5" s="16"/>
      <c r="C5" s="16"/>
      <c r="D5" s="16"/>
      <c r="E5" s="17"/>
    </row>
    <row r="6" spans="1:5">
      <c r="A6" s="18"/>
      <c r="B6" s="19" t="s">
        <v>174</v>
      </c>
      <c r="C6" s="20">
        <v>500000</v>
      </c>
      <c r="D6" s="18"/>
      <c r="E6" s="21" t="s">
        <v>175</v>
      </c>
    </row>
    <row r="7" spans="1:5">
      <c r="A7" s="18"/>
      <c r="B7" s="19" t="s">
        <v>176</v>
      </c>
      <c r="C7" s="22">
        <v>0.55</v>
      </c>
      <c r="D7" s="18"/>
      <c r="E7" s="21" t="s">
        <v>177</v>
      </c>
    </row>
    <row r="8" spans="1:5">
      <c r="A8" s="18"/>
      <c r="B8" s="19" t="s">
        <v>178</v>
      </c>
      <c r="C8" s="23">
        <f>C6*(1-C7)</f>
        <v>225000</v>
      </c>
      <c r="D8" s="18"/>
      <c r="E8" s="21" t="s">
        <v>179</v>
      </c>
    </row>
    <row r="9" spans="1:5">
      <c r="A9" s="18"/>
      <c r="B9" s="19" t="s">
        <v>180</v>
      </c>
      <c r="C9" s="24">
        <v>330</v>
      </c>
      <c r="D9" s="18"/>
      <c r="E9" s="21" t="s">
        <v>181</v>
      </c>
    </row>
    <row r="10" spans="1:5">
      <c r="A10" s="18"/>
      <c r="B10" s="25" t="s">
        <v>182</v>
      </c>
      <c r="C10" s="26">
        <f>C8*C9</f>
        <v>74250000</v>
      </c>
      <c r="D10" s="18"/>
      <c r="E10" s="21" t="s">
        <v>183</v>
      </c>
    </row>
    <row r="11" spans="1:5">
      <c r="A11" s="15" t="s">
        <v>184</v>
      </c>
      <c r="B11" s="16"/>
      <c r="C11" s="16"/>
      <c r="D11" s="16"/>
      <c r="E11" s="17"/>
    </row>
    <row r="12" ht="19.5" customHeight="1" spans="1:5">
      <c r="A12" s="18"/>
      <c r="B12" s="19" t="s">
        <v>185</v>
      </c>
      <c r="C12" s="27">
        <f>'KPI qoidalari'!$C$10</f>
        <v>1000</v>
      </c>
      <c r="D12" s="18"/>
      <c r="E12" s="21" t="s">
        <v>186</v>
      </c>
    </row>
    <row r="13" spans="1:5">
      <c r="A13" s="18"/>
      <c r="B13" s="19" t="s">
        <v>187</v>
      </c>
      <c r="C13" s="28">
        <f>C12/C8</f>
        <v>0.00444444444444445</v>
      </c>
      <c r="D13" s="18"/>
      <c r="E13" s="21" t="s">
        <v>188</v>
      </c>
    </row>
    <row r="14" spans="1:5">
      <c r="A14" s="18"/>
      <c r="B14" s="19" t="s">
        <v>189</v>
      </c>
      <c r="C14" s="27">
        <f>'KPI qoidalari'!$C$11</f>
        <v>35000</v>
      </c>
      <c r="D14" s="18"/>
      <c r="E14" s="21"/>
    </row>
    <row r="15" spans="1:5">
      <c r="A15" s="18"/>
      <c r="B15" s="19" t="s">
        <v>190</v>
      </c>
      <c r="C15" s="24">
        <v>4</v>
      </c>
      <c r="D15" s="18"/>
      <c r="E15" s="21" t="s">
        <v>191</v>
      </c>
    </row>
    <row r="16" spans="1:5">
      <c r="A16" s="18"/>
      <c r="B16" s="19" t="s">
        <v>192</v>
      </c>
      <c r="C16" s="27">
        <f>C8*C15</f>
        <v>900000</v>
      </c>
      <c r="D16" s="18"/>
      <c r="E16" s="21"/>
    </row>
    <row r="17" spans="1:5">
      <c r="A17" s="18"/>
      <c r="B17" s="19" t="s">
        <v>193</v>
      </c>
      <c r="C17" s="28">
        <f>C14/C16</f>
        <v>0.0388888888888889</v>
      </c>
      <c r="D17" s="18"/>
      <c r="E17" s="21" t="s">
        <v>194</v>
      </c>
    </row>
    <row r="18" spans="1:5">
      <c r="A18" s="18"/>
      <c r="B18" s="19" t="s">
        <v>195</v>
      </c>
      <c r="C18" s="27">
        <f>KALKULYATOR!C33</f>
        <v>4931000</v>
      </c>
      <c r="D18" s="18"/>
      <c r="E18" s="21" t="s">
        <v>196</v>
      </c>
    </row>
    <row r="19" spans="1:5">
      <c r="A19" s="18"/>
      <c r="B19" s="19" t="s">
        <v>197</v>
      </c>
      <c r="C19" s="29">
        <f>C18/C10</f>
        <v>0.0664107744107744</v>
      </c>
      <c r="D19" s="18"/>
      <c r="E19" s="21" t="s">
        <v>198</v>
      </c>
    </row>
    <row r="20" spans="1:5">
      <c r="A20" s="15" t="s">
        <v>199</v>
      </c>
      <c r="B20" s="16"/>
      <c r="C20" s="16"/>
      <c r="D20" s="16"/>
      <c r="E20" s="17"/>
    </row>
    <row r="21" spans="1:5">
      <c r="A21" s="18"/>
      <c r="B21" s="30" t="s">
        <v>200</v>
      </c>
      <c r="C21" s="31" t="s">
        <v>201</v>
      </c>
      <c r="D21" s="31"/>
      <c r="E21" s="31"/>
    </row>
    <row r="22" ht="36" customHeight="1" spans="1:5">
      <c r="A22" s="18"/>
      <c r="B22" s="30" t="s">
        <v>202</v>
      </c>
      <c r="C22" s="31" t="s">
        <v>203</v>
      </c>
      <c r="D22" s="31"/>
      <c r="E22" s="31"/>
    </row>
    <row r="23" ht="33" customHeight="1" spans="1:5">
      <c r="A23" s="18"/>
      <c r="B23" s="30" t="s">
        <v>204</v>
      </c>
      <c r="C23" s="31" t="s">
        <v>205</v>
      </c>
      <c r="D23" s="31"/>
      <c r="E23" s="31"/>
    </row>
    <row r="24" ht="33.75" customHeight="1" spans="1:5">
      <c r="A24" s="18"/>
      <c r="B24" s="30" t="s">
        <v>206</v>
      </c>
      <c r="C24" s="31" t="s">
        <v>207</v>
      </c>
      <c r="D24" s="31"/>
      <c r="E24" s="31"/>
    </row>
    <row r="25" ht="33.75" customHeight="1"/>
    <row r="26" ht="33.75" customHeight="1"/>
    <row r="27" ht="33.75" customHeight="1"/>
  </sheetData>
  <mergeCells count="8">
    <mergeCell ref="A5:E5"/>
    <mergeCell ref="A11:E11"/>
    <mergeCell ref="A20:E20"/>
    <mergeCell ref="C21:E21"/>
    <mergeCell ref="C22:E22"/>
    <mergeCell ref="C23:E23"/>
    <mergeCell ref="C24:E24"/>
    <mergeCell ref="A1:E4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showGridLines="0" tabSelected="1" workbookViewId="0">
      <pane ySplit="4" topLeftCell="A5" activePane="bottomLeft" state="frozen"/>
      <selection/>
      <selection pane="bottomLeft" activeCell="C21" sqref="C21"/>
    </sheetView>
  </sheetViews>
  <sheetFormatPr defaultColWidth="8.6796875" defaultRowHeight="16.8" outlineLevelCol="4"/>
  <cols>
    <col min="1" max="1" width="4" customWidth="1"/>
    <col min="2" max="2" width="44" customWidth="1"/>
    <col min="3" max="3" width="22" customWidth="1"/>
    <col min="4" max="4" width="20" customWidth="1"/>
    <col min="5" max="5" width="48" customWidth="1"/>
  </cols>
  <sheetData>
    <row r="1" spans="1:5">
      <c r="A1" s="1" t="s">
        <v>208</v>
      </c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7"/>
      <c r="B4" s="8"/>
      <c r="C4" s="8"/>
      <c r="D4" s="8"/>
      <c r="E4" s="9"/>
    </row>
    <row r="5" ht="24" customHeight="1" spans="1:5">
      <c r="A5" s="10" t="s">
        <v>209</v>
      </c>
      <c r="B5" s="10" t="s">
        <v>210</v>
      </c>
      <c r="C5" s="10" t="s">
        <v>211</v>
      </c>
      <c r="D5" s="10" t="s">
        <v>212</v>
      </c>
      <c r="E5" s="10" t="s">
        <v>213</v>
      </c>
    </row>
    <row r="6" ht="31.5" customHeight="1" spans="1:5">
      <c r="A6" s="11">
        <v>1</v>
      </c>
      <c r="B6" s="12" t="s">
        <v>214</v>
      </c>
      <c r="C6" s="13" t="s">
        <v>215</v>
      </c>
      <c r="D6" s="13" t="s">
        <v>216</v>
      </c>
      <c r="E6" s="13" t="s">
        <v>217</v>
      </c>
    </row>
    <row r="7" ht="31.5" customHeight="1" spans="1:5">
      <c r="A7" s="11">
        <v>2</v>
      </c>
      <c r="B7" s="12" t="s">
        <v>218</v>
      </c>
      <c r="C7" s="13" t="s">
        <v>219</v>
      </c>
      <c r="D7" s="13" t="s">
        <v>216</v>
      </c>
      <c r="E7" s="13" t="s">
        <v>220</v>
      </c>
    </row>
    <row r="8" ht="31.5" customHeight="1" spans="1:5">
      <c r="A8" s="11">
        <v>3</v>
      </c>
      <c r="B8" s="12" t="s">
        <v>221</v>
      </c>
      <c r="C8" s="13" t="s">
        <v>222</v>
      </c>
      <c r="D8" s="13" t="s">
        <v>216</v>
      </c>
      <c r="E8" s="13" t="s">
        <v>223</v>
      </c>
    </row>
    <row r="9" ht="31.5" customHeight="1" spans="1:5">
      <c r="A9" s="11">
        <v>4</v>
      </c>
      <c r="B9" s="12" t="s">
        <v>224</v>
      </c>
      <c r="C9" s="13" t="s">
        <v>225</v>
      </c>
      <c r="D9" s="13" t="s">
        <v>216</v>
      </c>
      <c r="E9" s="13" t="s">
        <v>226</v>
      </c>
    </row>
    <row r="10" ht="31.5" customHeight="1" spans="1:5">
      <c r="A10" s="11">
        <v>5</v>
      </c>
      <c r="B10" s="12" t="s">
        <v>227</v>
      </c>
      <c r="C10" s="13" t="s">
        <v>228</v>
      </c>
      <c r="D10" s="13" t="s">
        <v>216</v>
      </c>
      <c r="E10" s="13" t="s">
        <v>229</v>
      </c>
    </row>
    <row r="11" ht="31.5" customHeight="1" spans="1:5">
      <c r="A11" s="11">
        <v>6</v>
      </c>
      <c r="B11" s="12" t="s">
        <v>230</v>
      </c>
      <c r="C11" s="13" t="s">
        <v>231</v>
      </c>
      <c r="D11" s="14" t="s">
        <v>232</v>
      </c>
      <c r="E11" s="13" t="s">
        <v>233</v>
      </c>
    </row>
    <row r="12" ht="31.5" customHeight="1" spans="1:5">
      <c r="A12" s="11">
        <v>7</v>
      </c>
      <c r="B12" s="12" t="s">
        <v>234</v>
      </c>
      <c r="C12" s="13" t="s">
        <v>231</v>
      </c>
      <c r="D12" s="14" t="s">
        <v>235</v>
      </c>
      <c r="E12" s="13" t="s">
        <v>236</v>
      </c>
    </row>
    <row r="13" ht="31.5" customHeight="1" spans="1:5">
      <c r="A13" s="11">
        <v>8</v>
      </c>
      <c r="B13" s="12" t="s">
        <v>237</v>
      </c>
      <c r="C13" s="13" t="s">
        <v>231</v>
      </c>
      <c r="D13" s="14" t="s">
        <v>238</v>
      </c>
      <c r="E13" s="13" t="s">
        <v>239</v>
      </c>
    </row>
    <row r="14" ht="31.5" customHeight="1" spans="1:5">
      <c r="A14" s="11">
        <v>9</v>
      </c>
      <c r="B14" s="12" t="s">
        <v>240</v>
      </c>
      <c r="C14" s="13" t="s">
        <v>241</v>
      </c>
      <c r="D14" s="13" t="s">
        <v>216</v>
      </c>
      <c r="E14" s="13" t="s">
        <v>242</v>
      </c>
    </row>
    <row r="15" ht="31.5" customHeight="1" spans="1:5">
      <c r="A15" s="11">
        <v>10</v>
      </c>
      <c r="B15" s="12" t="s">
        <v>243</v>
      </c>
      <c r="C15" s="13" t="s">
        <v>123</v>
      </c>
      <c r="D15" s="13" t="s">
        <v>216</v>
      </c>
      <c r="E15" s="13" t="s">
        <v>244</v>
      </c>
    </row>
  </sheetData>
  <mergeCells count="1">
    <mergeCell ref="A1:E4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Boshlash</vt:lpstr>
      <vt:lpstr>KPI qoidalari</vt:lpstr>
      <vt:lpstr>KALKULYATOR</vt:lpstr>
      <vt:lpstr>Ssenariylar</vt:lpstr>
      <vt:lpstr>Birli iqtisodiyoti</vt:lpstr>
      <vt:lpstr>Vazifa va KPI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revision>0</cp:revision>
  <dcterms:created xsi:type="dcterms:W3CDTF">2026-08-17T12:57:00Z</dcterms:created>
  <dcterms:modified xsi:type="dcterms:W3CDTF">2026-08-18T12:45:21Z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C80E8C2B5A236E6D910D846AD2DE5189_43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0</vt:i4>
  </property>
</Properties>
</file>