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 tabRatio="500" firstSheet="2" activeTab="6"/>
  </bookViews>
  <sheets>
    <sheet name="Plan matematikasi" sheetId="2" r:id="rId1"/>
    <sheet name="KPI qoidalari" sheetId="3" r:id="rId2"/>
    <sheet name="KALKULYATOR" sheetId="4" r:id="rId3"/>
    <sheet name="Ssenariylar" sheetId="5" r:id="rId4"/>
    <sheet name="Kunlik norma" sheetId="6" r:id="rId5"/>
    <sheet name="Kelajakda_bolinish" sheetId="7" r:id="rId6"/>
    <sheet name="Geymifikatsiy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<sst xmlns="http://schemas.openxmlformats.org/spreadsheetml/2006/main" count="297" uniqueCount="276">
  <si>
    <t>INTELLEKT O'QUV MARKAZI KIRUVCHI ADMIN KPI</t>
  </si>
  <si>
    <t>REJA MATEMATIKASI — 80–100 SHARTNOMA UCHUN NIMA KERAK</t>
  </si>
  <si>
    <t>Orqadan oldinga hisoblaymiz: shartnomadan boshlab, kerakli lid soniga qadar.</t>
  </si>
  <si>
    <t>BOSHLANG'ICH FARAZLAR (sariq katakchalarni o'zgartirsangiz — hamma narsa qayta hisoblanadi)</t>
  </si>
  <si>
    <t>Markazga kelgan → shartnoma konversiyasi</t>
  </si>
  <si>
    <t>Sinov darsiga kelgan odam qanchasi shartnoma qiladi. Bizdagi haqiqiy raqam.</t>
  </si>
  <si>
    <t>Qo'ng'iroq → sinov darsiga kelish konversiyasi</t>
  </si>
  <si>
    <t>O'rtacha daraja. Kamida 25%, zo'ri 40–50%.</t>
  </si>
  <si>
    <t>Oyiga ish kuni</t>
  </si>
  <si>
    <t>Yakshanba dam olish.</t>
  </si>
  <si>
    <t>1 lidga o'rtacha teginish (qo'ng'iroq/xabar) soni</t>
  </si>
  <si>
    <t>Birinchi qo'ng'iroq + qayta aloqa + tasdiqlash.</t>
  </si>
  <si>
    <t>IKKI SSENARIY: 80 VA 100 SHARTNOMA</t>
  </si>
  <si>
    <t>Ko'rsatkich</t>
  </si>
  <si>
    <t>80 shartnoma</t>
  </si>
  <si>
    <t>100 shartnoma</t>
  </si>
  <si>
    <t>Farq</t>
  </si>
  <si>
    <t>Izoh</t>
  </si>
  <si>
    <t>Oylik maqsad: imzolangan shartnoma</t>
  </si>
  <si>
    <t>Kutilayotgan reja.</t>
  </si>
  <si>
    <t>Sinov darsiga KELISHI kerak (odam)</t>
  </si>
  <si>
    <t>Shartnoma ÷ 80% konversiya.</t>
  </si>
  <si>
    <t>Kerakli LID soni (qo'ng'iroq + DM + tashrif)</t>
  </si>
  <si>
    <t>Sinovga kelgan ÷ 32% konversiya. BU MARKETINGNING VAZIFASI.</t>
  </si>
  <si>
    <t>Kunlik lid</t>
  </si>
  <si>
    <t>Kuniga shuncha yangi murojaat kelishi kerak.</t>
  </si>
  <si>
    <t>Kunlik qo'ng'iroq/teginish</t>
  </si>
  <si>
    <t>Adminning kunlik telefon ishi. (Qo'ng'iroqlar)</t>
  </si>
  <si>
    <t>Kunlik sinov darsi (kutib olish)</t>
  </si>
  <si>
    <t>Kuniga shuncha mehmonni tayyorgarlik bilan kutib olish.</t>
  </si>
  <si>
    <t>Kunlik shartnoma</t>
  </si>
  <si>
    <t>Kuniga o'rtacha shuncha shartnoma.</t>
  </si>
  <si>
    <t>HULOSA — OCHIQ AYTILADIGAN NARSALAR</t>
  </si>
  <si>
    <t>1. 100 shartnoma — bu bitta odam uchun MAKSIMUM CHEGARASI.</t>
  </si>
  <si>
    <t>Kuniga ~50 qo'ng'iroq + 5 ta mehmonni kutib olish + Instagram Direct + shartnoma rasmiylashtirish. Bu yukda admin sifatni yo'qota boshlaydi. 100 raqami — rolni ikkiga bo'lish signali, gibridning doimiy normasi emas.</t>
  </si>
  <si>
    <t>2. 310–390 lid — bu MARKETINGNING ishi, adminniki emas.</t>
  </si>
  <si>
    <t>Shuning uchun pulning asosiy qismi shartnoma soniga emas, KONVERSIYAGA bog'lanadi. Agar oyda 250 taddan kam lid kelsa — shartnoma rejasi avtomatik qayta hisoblanadi (KALKULYATOR page da shu qoida bor).</t>
  </si>
  <si>
    <t>3. «Sinovga yozildi» emas, «sinovga KELDI» hisoblanadi.</t>
  </si>
  <si>
    <t>Yozilgan-u kelmagan sinov darsi konversiyaga kirmaydi. Bu qoida hozirdan yoziladi — rol bo'lingandan keyin operatorning sifatsiz lidni surib yuborishining oldini oladi.</t>
  </si>
  <si>
    <r>
      <t>KPI QOIDALARI VA KOEFFITSIENTLAR</t>
    </r>
    <r>
      <rPr>
        <b/>
        <sz val="18"/>
        <rFont val="Arial"/>
        <charset val="1"/>
      </rPr>
      <t xml:space="preserve">
</t>
    </r>
    <r>
      <rPr>
        <sz val="12"/>
        <rFont val="Arial"/>
        <charset val="1"/>
      </rPr>
      <t>Bu pagr — qonun matni. KALKULYATOR shu yerdagi raqamlarni o'qiydi.</t>
    </r>
  </si>
  <si>
    <t>ASOSIY FORMULA</t>
  </si>
  <si>
    <t>OYLIK  =  Oklad  +  ( Shartnoma soni × Baza to'lov × Konversiya koeffitsienti ) × Samaradorlik koeffitsienti  −  Tiket jarimasi</t>
  </si>
  <si>
    <t>DOIMIY QIYMATLAR</t>
  </si>
  <si>
    <t>Oklad</t>
  </si>
  <si>
    <t>Ishga keldi-ketdi, intizom, CRM dan to'g'ri foydalanish uchun. Natijaga bog'liq emas.</t>
  </si>
  <si>
    <t>Baza to'lov — 1 ta shartnoma uchun</t>
  </si>
  <si>
    <t>Bonusning qurilish g'ishti.</t>
  </si>
  <si>
    <t>Tiket jarimasi — 1 ta tiket uchun</t>
  </si>
  <si>
    <t>Sifat nazorati aniqlagan har bir xato uchun.</t>
  </si>
  <si>
    <t>Kafolatlangan minimum (faqat 1–2 oy)</t>
  </si>
  <si>
    <t>Kalibrovka davrida xodim ishonchini saqlash uchun.</t>
  </si>
  <si>
    <t>Markazga kelgan → shartnoma NORMASI</t>
  </si>
  <si>
    <t>Sinov darsiga kelganlarning shuncha qismi shartnoma qilishi kerak.</t>
  </si>
  <si>
    <t>Jarima: norma buzilsa (70–79%)</t>
  </si>
  <si>
    <t>Konversiya koeffitsientidan ayiriladi.</t>
  </si>
  <si>
    <t>Jiddiy buzilish chegarasi</t>
  </si>
  <si>
    <t>Kutib olish sifati keskin tushgani.</t>
  </si>
  <si>
    <t>Jarima: jiddiy buzilish (70% dan past)</t>
  </si>
  <si>
    <t>Ikki barobar jarima.</t>
  </si>
  <si>
    <t>Lid oqimi kafolati chegarasi</t>
  </si>
  <si>
    <t>Oyda shundan kam lid kelsa — reja qayta hisoblanadi.</t>
  </si>
  <si>
    <t>KONVERSIYA KOEFFITSIENTI  —  qo'ng'iroq/lid → sinov darsiga KELISH</t>
  </si>
  <si>
    <t>Past chegara</t>
  </si>
  <si>
    <t>Yuqori chegara</t>
  </si>
  <si>
    <t>KOEFFITSIENT</t>
  </si>
  <si>
    <t>Normadan keskin past. Bonus yarmiga kesiladi.</t>
  </si>
  <si>
    <t>Minimal chegara. Bonus to'liq emas.</t>
  </si>
  <si>
    <t>NORMA. Bizdan kutilgan daraja — bonus to'liq.</t>
  </si>
  <si>
    <t>Normadan yuqori. Bonus 20% ko'p.</t>
  </si>
  <si>
    <t>Zo'r natija. Bonus 40% ko'p.</t>
  </si>
  <si>
    <t>SAMARADORLIK KOEFFITSIENTI  —  vazifalarni o'z vaqtida bajarish foizi (amoCRM)</t>
  </si>
  <si>
    <t>Intizom yo'q. Bonusning chorak qismi kesiladi.</t>
  </si>
  <si>
    <t>Yetarli emas.</t>
  </si>
  <si>
    <t>NORMA. Bonus to'liq.</t>
  </si>
  <si>
    <t>Namunali xodim. Bonus 10% ko'p.</t>
  </si>
  <si>
    <t>TUZATUVCHI QOIDALAR</t>
  </si>
  <si>
    <t>Lid oqimi kafolati</t>
  </si>
  <si>
    <t>Agar oy davomida marketing 250 taddan kam lid bersa — shartnoma rejasi avtomatik qayta hisoblanadi: Reja = kelgan lid × 32% × 80%. Konversiya koeffitsienti esa o'z holicha qoladi. Adminni marketing xatosi uchun jazolamaymiz.</t>
  </si>
  <si>
    <t>Sinovga «kelish», «yozilish» emas</t>
  </si>
  <si>
    <t>Yozilganu kelmagan sinov darsi konversiya hisobiga kirmaydi</t>
  </si>
  <si>
    <t>Offlayn sifat jarimasi — IKKI POG'ONALI</t>
  </si>
  <si>
    <t>Markazga kelgan - shartnoma konversiyasi 80% dan tushsa, konversiya koeffitsientidan 0.20 ayiriladi. 70% dan ham tushsa — 0.40 ayiriladi. Bu joyda tushish = mijozni yomon kutib olganmiz degani, shuning uchun jarima</t>
  </si>
  <si>
    <t>Tiket tizimi</t>
  </si>
  <si>
    <t>Sifat nazorati haftada 5 ta qo'ng'iroqni yashirin mijoz auditining 13 mezoni bo'yicha amalga oshiramiz. Har bir tiket 50 000 so'm. Tiket sabablari: natijani raqam bilan aytmadi · ehtiyojni so'ramadi · sinov darsiga chaqirmadi · e'tirozga javob bermadi · qayta qo'ng'iroq qilmadi · CRMga yozmadi</t>
  </si>
  <si>
    <t>Bir oyda 5+ tiket</t>
  </si>
  <si>
    <t>Konversiya koeffitsienti bir pog'ona pastga tushiriladi (masalan 1.0 - 0.8)</t>
  </si>
  <si>
    <t>Kalibrovka davri</t>
  </si>
  <si>
    <t>Birinchi 2 oy kafolatlangan minimum 4 500 000 so'm ishlaydi — hisoblangan summa shundan kam chiqsa ham, xodim shu summani oladi. 3-oydan kafolat bekor qilinadi.</t>
  </si>
  <si>
    <t>CRM gigiyenasi — kirish sharti</t>
  </si>
  <si>
    <t>Oy oxirida kechikkan vazifa 0 va vazifasiz sdelka 0 bo'lishi shart. Buzilsa, samaradorlik foizi avtomatik pasayadi (amoCRM o'zi hisoblaydi).</t>
  </si>
  <si>
    <r>
      <t>OYLIK KALKULYATORI</t>
    </r>
    <r>
      <rPr>
        <b/>
        <sz val="14"/>
        <color rgb="FF1F3864"/>
        <rFont val="Arial"/>
        <charset val="1"/>
      </rPr>
      <t xml:space="preserve">
</t>
    </r>
    <r>
      <rPr>
        <sz val="14"/>
        <rFont val="Arial"/>
        <charset val="1"/>
      </rPr>
      <t>Sariq yacheykaga oy oxiridagi haqiqiy raqamlarni kiritiladi. Qolgan hamma narsa o'zi hisoblanadi.</t>
    </r>
  </si>
  <si>
    <t>1-QADAM. OY OXIRIDAGI HAQIQIY RAQAMLAR (ruchnoy yoziladi)</t>
  </si>
  <si>
    <t>Oyda kelgan LID soni (qo'ng'iroq + DM + tashrif)</t>
  </si>
  <si>
    <t>amoCRM: oy davomida yaratilgan sdelkalar soni.</t>
  </si>
  <si>
    <t>Sinov darsiga KELGAN o'quvchi soni</t>
  </si>
  <si>
    <t>«Sinov darsi o'tkazildi» etapiga o'tganlar. Yozilgan-u kelmaganlar SANALMAYDI.</t>
  </si>
  <si>
    <t>Imzolangan SHARTNOMA soni</t>
  </si>
  <si>
    <t>«Shartnoma imzolandi» etapi.</t>
  </si>
  <si>
    <t>Samaradorlik — vazifalar o'z vaqtida bajarilishi</t>
  </si>
  <si>
    <t>amoCRM hisoboti: bajarilgan / jami vazifa.</t>
  </si>
  <si>
    <t>Sifat nazorati bergan TIKET soni</t>
  </si>
  <si>
    <t>Oy davomidagi jami tiket.</t>
  </si>
  <si>
    <t>2-QADAM. KONVERSIYALAR (avtomatik)</t>
  </si>
  <si>
    <t>Konversiya: LID  - sinov darsiga KELISH</t>
  </si>
  <si>
    <t>Norma: 30–35%. Bu — asosiy KPI.</t>
  </si>
  <si>
    <t>Konversiya: KELGAN - SHARTNOMA</t>
  </si>
  <si>
    <t>Norma: 80%. Kutib olish sifatini ko'rsatadi.</t>
  </si>
  <si>
    <t>Umumiy konversiya: LID - SHARTNOMA</t>
  </si>
  <si>
    <t>Umumiy tizim samaradorligi.</t>
  </si>
  <si>
    <t>3-QADAM. KOEFFITSIENTLAR (avtomatik KPI qoidalari page dan olinadi)</t>
  </si>
  <si>
    <t>Konversiya koeffitsienti (jadval bo'yicha)</t>
  </si>
  <si>
    <t>3_KPI_qoidalari varag'idagi C-jadval.</t>
  </si>
  <si>
    <t>Offlayn sifat jarimasi</t>
  </si>
  <si>
    <t>Kelgan → shartnoma 70–79% bo'lsa −0.20; 70% dan past bo'lsa −0.40.</t>
  </si>
  <si>
    <t>5+ tiket jarimasi</t>
  </si>
  <si>
    <t>Oyda 5 va undan ko'p tiket bo'lsa bir pog'ona pastga.</t>
  </si>
  <si>
    <t>YAKUNIY konversiya koeffitsienti</t>
  </si>
  <si>
    <t>Jadval koeffitsienti minus jarimalar.</t>
  </si>
  <si>
    <t>Samaradorlik koeffitsienti</t>
  </si>
  <si>
    <t>3_KPI_qoidalari varag'idagi D-jadval.</t>
  </si>
  <si>
    <t>4-QADAM. OYLIK HISOBI</t>
  </si>
  <si>
    <t>Oklad (qat'iy qism)</t>
  </si>
  <si>
    <t>O'zgarmas.</t>
  </si>
  <si>
    <t>Bonus  =  Shartnoma × Baza to'lov × Konv.koef × Samar.koef</t>
  </si>
  <si>
    <t>Natijaga bog'liq qism.</t>
  </si>
  <si>
    <t>Tiket jarimasi</t>
  </si>
  <si>
    <t>Sifat nazorati xatolari uchun.</t>
  </si>
  <si>
    <t>HISOBLANGAN OYLIK</t>
  </si>
  <si>
    <t>Oklad + bonus − jarima.</t>
  </si>
  <si>
    <t>Kafolat bilan (faqat 1–2 oy)</t>
  </si>
  <si>
    <t>Kalibrovka davrida to'lanadigan summa. 3-oydan bu qator ishlamaydi.</t>
  </si>
  <si>
    <t>5-QADAM. NAZORAT — REJA BILAN SOLISHTIRISH</t>
  </si>
  <si>
    <t>Oylik reja (shartnoma)</t>
  </si>
  <si>
    <t>Kutilgan norma: 80–100.</t>
  </si>
  <si>
    <t>Reja bajarilishi</t>
  </si>
  <si>
    <t>Lid oqimi kafolati ishladimi?</t>
  </si>
  <si>
    <t>250 taddan kam lid kelsa kafolat yoqiladi.</t>
  </si>
  <si>
    <t>Qayta hisoblangan reja (kafolat ishlasa)</t>
  </si>
  <si>
    <t>Kelgan lid × 32% × 80%.</t>
  </si>
  <si>
    <r>
      <t>6 XIL OY — ADMIN QANCHA OLADI</t>
    </r>
    <r>
      <rPr>
        <b/>
        <sz val="14"/>
        <rFont val="Arial"/>
        <charset val="1"/>
      </rPr>
      <t xml:space="preserve">
</t>
    </r>
    <r>
      <rPr>
        <sz val="14"/>
        <rFont val="Arial"/>
        <charset val="1"/>
      </rPr>
      <t>Har bir qator to'liq hisoblangan</t>
    </r>
  </si>
  <si>
    <t>Ssenariy</t>
  </si>
  <si>
    <t>Lid</t>
  </si>
  <si>
    <t>Sinovga
kelgan</t>
  </si>
  <si>
    <t>Shart-
noma</t>
  </si>
  <si>
    <t>Samarador-
lik</t>
  </si>
  <si>
    <t>Tiket</t>
  </si>
  <si>
    <t>Konv.
lid→sinov</t>
  </si>
  <si>
    <t>Konv.
kelgan→sh.</t>
  </si>
  <si>
    <t>Konv.
koef</t>
  </si>
  <si>
    <t>Samar.
koef</t>
  </si>
  <si>
    <t>Bonus</t>
  </si>
  <si>
    <t>JAMI OYLIK</t>
  </si>
  <si>
    <t>Yomon oy</t>
  </si>
  <si>
    <t>Lid ham kam, konversiya ham past. Kafolat ishlaydi.</t>
  </si>
  <si>
    <t>Plandi pasti</t>
  </si>
  <si>
    <t>Norma konversiya, reja bajarildi.</t>
  </si>
  <si>
    <t>NORMA</t>
  </si>
  <si>
    <t>Bizdan kutilayotgan barqaror oy.</t>
  </si>
  <si>
    <t>Plan to'liq</t>
  </si>
  <si>
    <t>Yuqori oqim + norma konversiya + namunali intizom.</t>
  </si>
  <si>
    <t>Kuchli oy</t>
  </si>
  <si>
    <t>Konversiya 38% — koeffitsient 1.2 ga chiqdi.</t>
  </si>
  <si>
    <t>Shartnoma ko'p, SIFAT past</t>
  </si>
  <si>
    <t>Sinovga ko'p keldi, lekin kutib olish yomon: 65%. Jarima.</t>
  </si>
  <si>
    <t>SHU JADVALDAN CHIQADIGAN XULOSA</t>
  </si>
  <si>
    <t>• Oxirgi qator eng muhimi: 94 ta shartnoma qilgan admin 5 208 000 so'm oladi, 80 ta qilgan admin esa 5 700 000 so'm. Sababi — sinovga 145 kishi kelgan-u faqat 94 tasi shartnoma qilgan (65%, norma 80%). Ya'ni mehmonlarni yomon kutib olgan va 3 ta tiket olgan.</t>
  </si>
  <si>
    <t>• Aynan shu bizga kerak: pul faqat SONGA emas, SIFATGA ham bog'langan. Yashirin mijoz auditidagi 13 mezon bo'yicha ballimiz tushmasligi shu mexanizm orqali ta'minlanadi.</t>
  </si>
  <si>
    <t>• Zaif oyda hisoblangan summa 4 500 000 dan past chiqadi — birinchi 2 oyda kafolat ishlaydi, keyin ishlamaydi.</t>
  </si>
  <si>
    <r>
      <t>KUNLIK NORMA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Har kuni ertalab 09:00 da shu raqamlar aytiladi. Oylik reja kunlik songa bo'lingan.</t>
    </r>
  </si>
  <si>
    <t>KUNLIK RAQAMLAR (oylik rejadan kelib chiqadi)</t>
  </si>
  <si>
    <t>Oylik shartnoma rejasi</t>
  </si>
  <si>
    <t>Sariq yacheyka — o'zgartirilsa hamma raqam qayadan hisoblanadi</t>
  </si>
  <si>
    <t>O'rtacha kunlik natija.</t>
  </si>
  <si>
    <t>Kuniga shuncha mijoz keladi.</t>
  </si>
  <si>
    <t>Kunlik yangi lid</t>
  </si>
  <si>
    <t>Marketingdan kutiladigan oqim.</t>
  </si>
  <si>
    <t>Qo'n'g'iroqlar soni</t>
  </si>
  <si>
    <t>SIFAT NORMATIVLARI (kunlik, pulga bevosita ta'sir qiladi)</t>
  </si>
  <si>
    <t>Normativ</t>
  </si>
  <si>
    <t>Norma</t>
  </si>
  <si>
    <t>Qaysi audit mezoniga bog'liq</t>
  </si>
  <si>
    <t>Kiruvchi qo'ng'iroqqa javob</t>
  </si>
  <si>
    <t>3-gudokgacha</t>
  </si>
  <si>
    <t>1-mezon: Telefonga tez javob berdi</t>
  </si>
  <si>
    <t>Javobsiz qo'ng'iroqni qaytarish</t>
  </si>
  <si>
    <t>15 daqiqa ichida</t>
  </si>
  <si>
    <t>1-mezon</t>
  </si>
  <si>
    <t>Instagram Direct / Telegramga javob</t>
  </si>
  <si>
    <t>3-mezon: DMga 1 soat ichida javob berdi</t>
  </si>
  <si>
    <t>Ehtiyoj maydonlari to'ldirilishi</t>
  </si>
  <si>
    <t>lidlarning 95%</t>
  </si>
  <si>
    <t>2-mezon: Ismini va ehtiyojini so'radi</t>
  </si>
  <si>
    <t>Har suhbatda raqamli natija aytish</t>
  </si>
  <si>
    <t>100%</t>
  </si>
  <si>
    <t>5-mezon: Natijani RAQAM bilan aytdi — bizda 0 ball</t>
  </si>
  <si>
    <t>Sinov darsiga taklif qilish</t>
  </si>
  <si>
    <t>har kvalifikatsiyada</t>
  </si>
  <si>
    <t>6-mezon: Sinov darsiga chaqirdi</t>
  </si>
  <si>
    <t>«Kutib olish eslatmasi» to'ldirilishi</t>
  </si>
  <si>
    <t>13-mezon: Administrator xushmuomala</t>
  </si>
  <si>
    <t>Kunlik muloqot vaqti (jami gaplashish)</t>
  </si>
  <si>
    <t>2 soat va undan ko'p</t>
  </si>
  <si>
    <t>Umumiy sotuv faolligi</t>
  </si>
  <si>
    <t>Kun oxirida kechikkan vazifa</t>
  </si>
  <si>
    <t>0 ta</t>
  </si>
  <si>
    <t>8-mezon: Qayta qo'ng'iroq qildi — bizda 0 ball</t>
  </si>
  <si>
    <t>Kun oxirida vazifasiz sdelka</t>
  </si>
  <si>
    <t>8-mezon</t>
  </si>
  <si>
    <r>
      <t>KELAJAKDA: ADMIN VA CALL OPERATOR ALOHIDA BO'LGANDA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Voronka o'zgarmaydi — faqat mas'ul almashadi va pul ikkiga bo'linadi.</t>
    </r>
  </si>
  <si>
    <t>PUL TAQSIMOTI</t>
  </si>
  <si>
    <t>Element</t>
  </si>
  <si>
    <t>CALL OPERATOR</t>
  </si>
  <si>
    <t>ADMIN</t>
  </si>
  <si>
    <t>Adminda ko'proq — u shartnoma, hujjat, kassa bilan ishlaydi.</t>
  </si>
  <si>
    <t>Baza to'lov (1 birlik uchun)</t>
  </si>
  <si>
    <t>Operatorga — sinovga KELGAN har bir odam uchun. Adminga — har bir shartnoma uchun.</t>
  </si>
  <si>
    <t>Asosiy koeffitsient</t>
  </si>
  <si>
    <t>lid → sinovga kelish</t>
  </si>
  <si>
    <t>kelgan → shartnoma</t>
  </si>
  <si>
    <t>Har kim faqat o'z bosqichi uchun javob beradi.</t>
  </si>
  <si>
    <t>30–35%</t>
  </si>
  <si>
    <t>80%</t>
  </si>
  <si>
    <t>Kutilgan oylik (norma bajarilganda)</t>
  </si>
  <si>
    <t>4.5–5.5 mln</t>
  </si>
  <si>
    <t>5.5–6.5 mln</t>
  </si>
  <si>
    <t>Ikkalasining yig'indisi gibriddan qimmat — lekin o'shanda 150+ shartnomaga chiqiladi.</t>
  </si>
  <si>
    <t>VORONKADAGI MAS'UL ALMASHINUVI</t>
  </si>
  <si>
    <t>Etap</t>
  </si>
  <si>
    <t>Mas'ul</t>
  </si>
  <si>
    <t>1. Yangi lid</t>
  </si>
  <si>
    <t>OPERATOR</t>
  </si>
  <si>
    <t>amoCRM avtomatik yaratadi. 15 daqiqa SLA.</t>
  </si>
  <si>
    <t>2. Aloqaga chiqildi</t>
  </si>
  <si>
    <t>Birinchi urinish qilindi.</t>
  </si>
  <si>
    <t>3. Kvalifikatsiya qilindi</t>
  </si>
  <si>
    <t>Ehtiyoj aniqlandi, maydonlar to'ldirildi.</t>
  </si>
  <si>
    <t>4. Sinov darsiga yozildi</t>
  </si>
  <si>
    <t>OPERATOR → ADMIN</t>
  </si>
  <si>
    <t>SHU YERDA MAS'UL AVTOMATIK ADMINGA O'TADI.</t>
  </si>
  <si>
    <t>5. Sinov darsi o'tkazildi</t>
  </si>
  <si>
    <t>Kutib olish, kuzatish, o'qituvchi bahosini olish.</t>
  </si>
  <si>
    <t>6. Taklif berildi</t>
  </si>
  <si>
    <t>Narx, guruh, jadval.</t>
  </si>
  <si>
    <t>7. Shartnoma imzolandi</t>
  </si>
  <si>
    <t>Hujjat, to'lov, LMSga o'tkazish.</t>
  </si>
  <si>
    <t>8. Yopildi — amalga oshmadi</t>
  </si>
  <si>
    <t>kim yopsa o'sha</t>
  </si>
  <si>
    <t>Rad etish sababi majburiy.</t>
  </si>
  <si>
    <t>IKKI TEXNIK MAYDON — HOZIRDAN KIRITILADI</t>
  </si>
  <si>
    <t>Lidni ishlagan operator</t>
  </si>
  <si>
    <t>3-etapdan chiqqanda avtomatik to'ldiriladi. Mas'ul Adminga o'tsa ham operator o'z konversiyasini yo'qotmaydi.</t>
  </si>
  <si>
    <t>Shartnomani yopgan admin</t>
  </si>
  <si>
    <t>7-etapda avtomatik to'ldiriladi. Adminning konversiyasi shu maydon bo'yicha hisoblanadi.</t>
  </si>
  <si>
    <t>Bu ikki maydonni HOZIRDAN kiritish kerak. Hozir ikkalasiga ham bitta ism tushadi, bo'linganda esa hech narsa o'zgartirmasdan tizim ishlab ketaveradi.</t>
  </si>
  <si>
    <t>ASOSIY XAVF: operator «sinovga yozdim» deb sifatsiz lidni surib yuborishi mumkin. Shuning uchun operatorning bonusi yozilganga emas, sinovga KELGANga bog'lanadi. Kelmasa — hisoblanmaydi. Hozir bu muammo yo'q, lekin qoidani hozirdan yozib qo'yish kerak.</t>
  </si>
  <si>
    <r>
      <t>KUNLIK GEYMIFIKATSIYA — OYLIKDAN TASHQARI</t>
    </r>
    <r>
      <rPr>
        <b/>
        <sz val="14"/>
        <color theme="1"/>
        <rFont val="Arial"/>
        <charset val="1"/>
      </rPr>
      <t xml:space="preserve">
</t>
    </r>
    <r>
      <rPr>
        <sz val="14"/>
        <color theme="1"/>
        <rFont val="Arial"/>
        <charset val="1"/>
      </rPr>
      <t>Naqd va tezkor. Oylik bonus — uzoq motivatsiya, bu — kunlik motivatsiya</t>
    </r>
    <r>
      <rPr>
        <b/>
        <sz val="14"/>
        <color theme="1"/>
        <rFont val="Arial"/>
        <charset val="1"/>
      </rPr>
      <t>.</t>
    </r>
  </si>
  <si>
    <t>A. MUKOFOTLAR VA OYLIK FOND</t>
  </si>
  <si>
    <t>Yutuq</t>
  </si>
  <si>
    <t>BONUS</t>
  </si>
  <si>
    <t>Oyiga necha marta (taxmin)</t>
  </si>
  <si>
    <t>Oylik fond</t>
  </si>
  <si>
    <t>Kunlik 4-shartnoma</t>
  </si>
  <si>
    <t>Kunlik 5-shartnoma</t>
  </si>
  <si>
    <t>Kuniga 50+ qo'ng'iroq va 2 soat+ muloqot</t>
  </si>
  <si>
    <t>Haftalik sifat nazorati 10/10</t>
  </si>
  <si>
    <t>JAMI OYLIK GEYMIFIKATSIYA FONDI</t>
  </si>
  <si>
    <t>B. NOMODDIY ELEMENTLAR</t>
  </si>
  <si>
    <t>Qo'ng'iroq (zvonok)</t>
  </si>
  <si>
    <t>Har shartnomadan keyin ikki marta chalinadi. Kichik, lekin jamoada ta'siri katta — g'alaba e'lon qilinadi, boshqalarga sog'lom raqobat beradi.</t>
  </si>
  <si>
    <t>Doska</t>
  </si>
  <si>
    <t>Kunlik reja, bajarilgani va kechikkan vazifalar doskaga yoziladi. Vizual, shaffof.</t>
  </si>
  <si>
    <t>Muzlatgich</t>
  </si>
  <si>
    <t>Xodim yoqtirgan ichimlik/shirinlik ro'yxatini o'zi tuzadi. Kunlik 2-shartnomadan keyin bepul olish huquqi.</t>
  </si>
  <si>
    <t>Stiker tizimi</t>
  </si>
  <si>
    <t>Standupda kechagi muammo stikerga yozilib doskaga yopishtiriladi, kun ichida yechim topish majburiyati olinadi.</t>
  </si>
  <si>
    <t>Geymifikatsiya fondi ALOHIDA byudjet sifatida yuritiladi — oylik hisobiga kirmaydi.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</si>
</sst>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&quot; so'm&quot;"/>
    <numFmt numFmtId="177" formatCode="0.0"/>
    <numFmt numFmtId="178" formatCode="0.0%"/>
  </numFmts>
  <fonts count="49">
    <font>
      <sz val="11"/>
      <color theme="1"/>
      <name val="Calibri"/>
      <charset val="1"/>
    </font>
    <font>
      <b/>
      <sz val="24"/>
      <color theme="1"/>
      <name val="Arial"/>
      <charset val="1"/>
    </font>
    <font>
      <b/>
      <sz val="14"/>
      <color theme="1"/>
      <name val="Arial"/>
      <charset val="1"/>
    </font>
    <font>
      <b/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2"/>
      <name val="Arial"/>
      <charset val="1"/>
    </font>
    <font>
      <b/>
      <sz val="10"/>
      <color rgb="FFC00000"/>
      <name val="Arial"/>
      <charset val="1"/>
    </font>
    <font>
      <sz val="9"/>
      <color theme="1"/>
      <name val="Arial"/>
      <charset val="1"/>
    </font>
    <font>
      <b/>
      <sz val="10"/>
      <color theme="1"/>
      <name val="Arial"/>
      <charset val="1"/>
    </font>
    <font>
      <b/>
      <sz val="24"/>
      <name val="Arial"/>
      <charset val="1"/>
    </font>
    <font>
      <b/>
      <sz val="14"/>
      <name val="Arial"/>
      <charset val="1"/>
    </font>
    <font>
      <b/>
      <sz val="9"/>
      <color rgb="FFFFFFFF"/>
      <name val="Arial"/>
      <charset val="1"/>
    </font>
    <font>
      <b/>
      <sz val="9"/>
      <color theme="3" tint="-0.25"/>
      <name val="Arial"/>
      <charset val="1"/>
    </font>
    <font>
      <b/>
      <sz val="9"/>
      <color theme="1"/>
      <name val="Arial"/>
      <charset val="1"/>
    </font>
    <font>
      <sz val="9"/>
      <name val="Arial"/>
      <charset val="1"/>
    </font>
    <font>
      <b/>
      <sz val="11"/>
      <name val="Arial"/>
      <charset val="1"/>
    </font>
    <font>
      <b/>
      <sz val="24"/>
      <color rgb="FF1F3864"/>
      <name val="Arial"/>
      <charset val="1"/>
    </font>
    <font>
      <b/>
      <sz val="14"/>
      <color rgb="FF1F3864"/>
      <name val="Arial"/>
      <charset val="1"/>
    </font>
    <font>
      <sz val="11"/>
      <name val="Calibri"/>
      <charset val="1"/>
    </font>
    <font>
      <i/>
      <sz val="9"/>
      <name val="Arial"/>
      <charset val="1"/>
    </font>
    <font>
      <b/>
      <sz val="22"/>
      <name val="Arial"/>
      <charset val="1"/>
    </font>
    <font>
      <b/>
      <sz val="18"/>
      <name val="Arial"/>
      <charset val="1"/>
    </font>
    <font>
      <b/>
      <sz val="20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Arial"/>
      <charset val="1"/>
    </font>
    <font>
      <sz val="12"/>
      <name val="Arial"/>
      <charset val="1"/>
    </font>
    <font>
      <sz val="14"/>
      <name val="Arial"/>
      <charset val="1"/>
    </font>
  </fonts>
  <fills count="43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3" tint="0.6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theme="4" tint="0.6"/>
        <bgColor rgb="FF333333"/>
      </patternFill>
    </fill>
    <fill>
      <patternFill patternType="solid">
        <fgColor theme="3" tint="0.8"/>
        <bgColor rgb="FF333333"/>
      </patternFill>
    </fill>
    <fill>
      <patternFill patternType="solid">
        <fgColor rgb="FF1F3864"/>
        <bgColor rgb="FF333333"/>
      </patternFill>
    </fill>
    <fill>
      <patternFill patternType="solid">
        <fgColor theme="9" tint="0.6"/>
        <bgColor rgb="FF333333"/>
      </patternFill>
    </fill>
    <fill>
      <patternFill patternType="solid">
        <fgColor theme="9" tint="0.8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Border="0" applyAlignment="0" applyProtection="0"/>
    <xf numFmtId="44" fontId="25" fillId="0" borderId="0" applyBorder="0" applyAlignment="0" applyProtection="0"/>
    <xf numFmtId="9" fontId="25" fillId="0" borderId="0" applyBorder="0" applyAlignment="0" applyProtection="0"/>
    <xf numFmtId="41" fontId="25" fillId="0" borderId="0" applyBorder="0" applyAlignment="0" applyProtection="0"/>
    <xf numFmtId="42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1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3" borderId="17" applyNumberFormat="0" applyAlignment="0" applyProtection="0">
      <alignment vertical="center"/>
    </xf>
    <xf numFmtId="0" fontId="36" fillId="14" borderId="18" applyNumberFormat="0" applyAlignment="0" applyProtection="0">
      <alignment vertical="center"/>
    </xf>
    <xf numFmtId="0" fontId="37" fillId="14" borderId="17" applyNumberFormat="0" applyAlignment="0" applyProtection="0">
      <alignment vertical="center"/>
    </xf>
    <xf numFmtId="0" fontId="38" fillId="15" borderId="19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</cellStyleXfs>
  <cellXfs count="1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0" fillId="3" borderId="9" xfId="0" applyFont="1" applyFill="1" applyBorder="1"/>
    <xf numFmtId="0" fontId="0" fillId="0" borderId="9" xfId="0" applyBorder="1"/>
    <xf numFmtId="0" fontId="4" fillId="4" borderId="9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/>
    </xf>
    <xf numFmtId="0" fontId="5" fillId="0" borderId="9" xfId="0" applyFont="1" applyBorder="1"/>
    <xf numFmtId="176" fontId="6" fillId="5" borderId="9" xfId="0" applyNumberFormat="1" applyFont="1" applyFill="1" applyBorder="1" applyAlignment="1">
      <alignment horizontal="center"/>
    </xf>
    <xf numFmtId="3" fontId="6" fillId="5" borderId="9" xfId="0" applyNumberFormat="1" applyFont="1" applyFill="1" applyBorder="1" applyAlignment="1">
      <alignment horizontal="center"/>
    </xf>
    <xf numFmtId="176" fontId="5" fillId="0" borderId="9" xfId="0" applyNumberFormat="1" applyFont="1" applyBorder="1" applyAlignment="1">
      <alignment horizontal="right"/>
    </xf>
    <xf numFmtId="0" fontId="7" fillId="0" borderId="9" xfId="0" applyFont="1" applyBorder="1"/>
    <xf numFmtId="0" fontId="0" fillId="0" borderId="9" xfId="0" applyBorder="1"/>
    <xf numFmtId="176" fontId="7" fillId="6" borderId="9" xfId="0" applyNumberFormat="1" applyFont="1" applyFill="1" applyBorder="1" applyAlignment="1">
      <alignment horizontal="right"/>
    </xf>
    <xf numFmtId="0" fontId="4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top" wrapText="1"/>
    </xf>
    <xf numFmtId="0" fontId="8" fillId="0" borderId="9" xfId="0" applyFont="1" applyBorder="1"/>
    <xf numFmtId="0" fontId="3" fillId="7" borderId="9" xfId="0" applyFont="1" applyFill="1" applyBorder="1"/>
    <xf numFmtId="0" fontId="0" fillId="7" borderId="9" xfId="0" applyFill="1" applyBorder="1"/>
    <xf numFmtId="0" fontId="4" fillId="4" borderId="9" xfId="0" applyFont="1" applyFill="1" applyBorder="1"/>
    <xf numFmtId="0" fontId="4" fillId="4" borderId="9" xfId="0" applyFont="1" applyFill="1" applyBorder="1"/>
    <xf numFmtId="176" fontId="5" fillId="0" borderId="9" xfId="0" applyNumberFormat="1" applyFont="1" applyBorder="1" applyAlignment="1">
      <alignment horizontal="center"/>
    </xf>
    <xf numFmtId="0" fontId="9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0" fillId="7" borderId="9" xfId="0" applyFont="1" applyFill="1" applyBorder="1"/>
    <xf numFmtId="0" fontId="4" fillId="0" borderId="9" xfId="0" applyFont="1" applyBorder="1"/>
    <xf numFmtId="0" fontId="8" fillId="0" borderId="9" xfId="0" applyFont="1" applyBorder="1" applyAlignment="1">
      <alignment wrapText="1"/>
    </xf>
    <xf numFmtId="0" fontId="3" fillId="8" borderId="9" xfId="0" applyFont="1" applyFill="1" applyBorder="1"/>
    <xf numFmtId="0" fontId="0" fillId="8" borderId="9" xfId="0" applyFill="1" applyBorder="1"/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9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0" fillId="8" borderId="9" xfId="0" applyFont="1" applyFill="1" applyBorder="1"/>
    <xf numFmtId="0" fontId="0" fillId="8" borderId="10" xfId="0" applyFont="1" applyFill="1" applyBorder="1" applyAlignment="1">
      <alignment horizontal="center"/>
    </xf>
    <xf numFmtId="0" fontId="0" fillId="8" borderId="11" xfId="0" applyFont="1" applyFill="1" applyBorder="1" applyAlignment="1">
      <alignment horizontal="center"/>
    </xf>
    <xf numFmtId="0" fontId="0" fillId="9" borderId="9" xfId="0" applyFont="1" applyFill="1" applyBorder="1"/>
    <xf numFmtId="0" fontId="10" fillId="4" borderId="9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0" fillId="0" borderId="0" xfId="0" applyBorder="1"/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178" fontId="6" fillId="5" borderId="9" xfId="0" applyNumberFormat="1" applyFont="1" applyFill="1" applyBorder="1" applyAlignment="1">
      <alignment horizontal="center"/>
    </xf>
    <xf numFmtId="178" fontId="5" fillId="0" borderId="9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176" fontId="4" fillId="6" borderId="9" xfId="0" applyNumberFormat="1" applyFont="1" applyFill="1" applyBorder="1" applyAlignment="1">
      <alignment horizontal="center"/>
    </xf>
    <xf numFmtId="0" fontId="16" fillId="0" borderId="9" xfId="0" applyFont="1" applyBorder="1"/>
    <xf numFmtId="0" fontId="4" fillId="0" borderId="9" xfId="0" applyFont="1" applyBorder="1"/>
    <xf numFmtId="0" fontId="17" fillId="0" borderId="9" xfId="0" applyFont="1" applyBorder="1"/>
    <xf numFmtId="0" fontId="0" fillId="0" borderId="12" xfId="0" applyBorder="1"/>
    <xf numFmtId="0" fontId="5" fillId="0" borderId="12" xfId="0" applyFont="1" applyBorder="1" applyAlignment="1">
      <alignment vertical="top" wrapText="1"/>
    </xf>
    <xf numFmtId="0" fontId="0" fillId="0" borderId="11" xfId="0" applyBorder="1"/>
    <xf numFmtId="0" fontId="18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7" fillId="11" borderId="9" xfId="0" applyFont="1" applyFill="1" applyBorder="1"/>
    <xf numFmtId="0" fontId="20" fillId="11" borderId="9" xfId="0" applyFont="1" applyFill="1" applyBorder="1"/>
    <xf numFmtId="0" fontId="20" fillId="11" borderId="10" xfId="0" applyFont="1" applyFill="1" applyBorder="1" applyAlignment="1">
      <alignment horizontal="center"/>
    </xf>
    <xf numFmtId="0" fontId="20" fillId="11" borderId="13" xfId="0" applyFont="1" applyFill="1" applyBorder="1" applyAlignment="1">
      <alignment horizontal="center"/>
    </xf>
    <xf numFmtId="0" fontId="20" fillId="11" borderId="11" xfId="0" applyFont="1" applyFill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0" fillId="11" borderId="10" xfId="0" applyFont="1" applyFill="1" applyBorder="1" applyAlignment="1">
      <alignment horizontal="left"/>
    </xf>
    <xf numFmtId="0" fontId="20" fillId="11" borderId="13" xfId="0" applyFont="1" applyFill="1" applyBorder="1" applyAlignment="1">
      <alignment horizontal="left"/>
    </xf>
    <xf numFmtId="0" fontId="20" fillId="11" borderId="11" xfId="0" applyFont="1" applyFill="1" applyBorder="1" applyAlignment="1">
      <alignment horizontal="left"/>
    </xf>
    <xf numFmtId="0" fontId="5" fillId="0" borderId="9" xfId="0" applyFont="1" applyBorder="1"/>
    <xf numFmtId="178" fontId="4" fillId="0" borderId="9" xfId="0" applyNumberFormat="1" applyFont="1" applyBorder="1" applyAlignment="1">
      <alignment horizontal="center"/>
    </xf>
    <xf numFmtId="0" fontId="21" fillId="0" borderId="11" xfId="0" applyFont="1" applyBorder="1" applyAlignment="1">
      <alignment horizontal="left"/>
    </xf>
    <xf numFmtId="0" fontId="5" fillId="6" borderId="9" xfId="0" applyFont="1" applyFill="1" applyBorder="1"/>
    <xf numFmtId="2" fontId="4" fillId="6" borderId="9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49" fontId="5" fillId="0" borderId="9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left"/>
    </xf>
    <xf numFmtId="0" fontId="17" fillId="11" borderId="13" xfId="0" applyFont="1" applyFill="1" applyBorder="1" applyAlignment="1">
      <alignment horizontal="left"/>
    </xf>
    <xf numFmtId="0" fontId="17" fillId="11" borderId="11" xfId="0" applyFont="1" applyFill="1" applyBorder="1" applyAlignment="1">
      <alignment horizontal="left"/>
    </xf>
    <xf numFmtId="0" fontId="7" fillId="0" borderId="9" xfId="0" applyFont="1" applyBorder="1" applyAlignment="1">
      <alignment vertical="center" wrapText="1"/>
    </xf>
    <xf numFmtId="176" fontId="6" fillId="4" borderId="9" xfId="0" applyNumberFormat="1" applyFont="1" applyFill="1" applyBorder="1" applyAlignment="1">
      <alignment horizontal="center"/>
    </xf>
    <xf numFmtId="178" fontId="6" fillId="4" borderId="9" xfId="0" applyNumberFormat="1" applyFont="1" applyFill="1" applyBorder="1" applyAlignment="1">
      <alignment horizontal="center"/>
    </xf>
    <xf numFmtId="2" fontId="6" fillId="4" borderId="9" xfId="0" applyNumberFormat="1" applyFont="1" applyFill="1" applyBorder="1" applyAlignment="1">
      <alignment horizontal="center"/>
    </xf>
    <xf numFmtId="3" fontId="6" fillId="4" borderId="9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78" fontId="5" fillId="6" borderId="9" xfId="0" applyNumberFormat="1" applyFont="1" applyFill="1" applyBorder="1" applyAlignment="1">
      <alignment horizontal="center"/>
    </xf>
    <xf numFmtId="2" fontId="4" fillId="6" borderId="10" xfId="0" applyNumberFormat="1" applyFont="1" applyFill="1" applyBorder="1" applyAlignment="1">
      <alignment horizontal="center"/>
    </xf>
    <xf numFmtId="2" fontId="4" fillId="6" borderId="11" xfId="0" applyNumberFormat="1" applyFont="1" applyFill="1" applyBorder="1" applyAlignment="1">
      <alignment horizontal="center"/>
    </xf>
    <xf numFmtId="0" fontId="17" fillId="11" borderId="9" xfId="0" applyFont="1" applyFill="1" applyBorder="1" applyAlignment="1"/>
    <xf numFmtId="0" fontId="20" fillId="11" borderId="9" xfId="0" applyFont="1" applyFill="1" applyBorder="1" applyAlignment="1"/>
    <xf numFmtId="0" fontId="20" fillId="11" borderId="10" xfId="0" applyFont="1" applyFill="1" applyBorder="1" applyAlignment="1"/>
    <xf numFmtId="0" fontId="20" fillId="11" borderId="11" xfId="0" applyFont="1" applyFill="1" applyBorder="1" applyAlignment="1"/>
    <xf numFmtId="0" fontId="4" fillId="0" borderId="9" xfId="0" applyFont="1" applyBorder="1" applyAlignment="1">
      <alignment horizontal="left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12" fillId="0" borderId="9" xfId="0" applyFont="1" applyBorder="1"/>
    <xf numFmtId="0" fontId="0" fillId="11" borderId="9" xfId="0" applyFill="1" applyBorder="1"/>
    <xf numFmtId="3" fontId="5" fillId="0" borderId="9" xfId="0" applyNumberFormat="1" applyFont="1" applyBorder="1" applyAlignment="1">
      <alignment horizontal="center"/>
    </xf>
    <xf numFmtId="0" fontId="5" fillId="6" borderId="9" xfId="0" applyFont="1" applyFill="1" applyBorder="1"/>
    <xf numFmtId="3" fontId="5" fillId="6" borderId="9" xfId="0" applyNumberFormat="1" applyFont="1" applyFill="1" applyBorder="1" applyAlignment="1">
      <alignment horizontal="center"/>
    </xf>
    <xf numFmtId="177" fontId="5" fillId="0" borderId="9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2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showGridLines="0" workbookViewId="0">
      <pane ySplit="4" topLeftCell="A5" activePane="bottomLeft" state="frozen"/>
      <selection/>
      <selection pane="bottomLeft" activeCell="B26" sqref="B26"/>
    </sheetView>
  </sheetViews>
  <sheetFormatPr defaultColWidth="8.6796875" defaultRowHeight="16.8" outlineLevelCol="6"/>
  <cols>
    <col min="1" max="1" width="4" customWidth="1"/>
    <col min="2" max="2" width="46" customWidth="1"/>
    <col min="3" max="5" width="16" customWidth="1"/>
    <col min="6" max="6" width="60" customWidth="1"/>
  </cols>
  <sheetData>
    <row r="1" ht="77" customHeight="1" spans="1:7">
      <c r="A1" s="12"/>
      <c r="B1" s="134" t="s">
        <v>0</v>
      </c>
      <c r="C1" s="135"/>
      <c r="D1" s="135"/>
      <c r="E1" s="135"/>
      <c r="F1" s="136"/>
      <c r="G1" s="12"/>
    </row>
    <row r="2" ht="20.4" spans="1:7">
      <c r="A2" s="12"/>
      <c r="B2" s="137" t="s">
        <v>1</v>
      </c>
      <c r="C2" s="12"/>
      <c r="D2" s="12"/>
      <c r="E2" s="12"/>
      <c r="F2" s="12"/>
      <c r="G2" s="12"/>
    </row>
    <row r="3" spans="1:7">
      <c r="A3" s="12"/>
      <c r="B3" s="69" t="s">
        <v>2</v>
      </c>
      <c r="C3" s="12"/>
      <c r="D3" s="12"/>
      <c r="E3" s="12"/>
      <c r="F3" s="12"/>
      <c r="G3" s="12"/>
    </row>
    <row r="4" spans="1:7">
      <c r="B4" s="84" t="s">
        <v>3</v>
      </c>
      <c r="C4" s="138"/>
      <c r="D4" s="138"/>
      <c r="E4" s="138"/>
      <c r="F4" s="138"/>
      <c r="G4" s="12"/>
    </row>
    <row r="5" ht="19.5" customHeight="1" spans="1:7">
      <c r="A5" s="12"/>
      <c r="B5" s="15" t="s">
        <v>4</v>
      </c>
      <c r="C5" s="65">
        <v>0.8</v>
      </c>
      <c r="D5" s="12"/>
      <c r="E5" s="12"/>
      <c r="F5" s="69" t="s">
        <v>5</v>
      </c>
      <c r="G5" s="12"/>
    </row>
    <row r="6" spans="1:7">
      <c r="A6" s="12"/>
      <c r="B6" s="15" t="s">
        <v>6</v>
      </c>
      <c r="C6" s="65">
        <v>0.32</v>
      </c>
      <c r="D6" s="12"/>
      <c r="E6" s="12"/>
      <c r="F6" s="69" t="s">
        <v>7</v>
      </c>
      <c r="G6" s="12"/>
    </row>
    <row r="7" spans="1:7">
      <c r="A7" s="12"/>
      <c r="B7" s="15" t="s">
        <v>8</v>
      </c>
      <c r="C7" s="17">
        <v>26</v>
      </c>
      <c r="D7" s="12"/>
      <c r="E7" s="12"/>
      <c r="F7" s="69" t="s">
        <v>9</v>
      </c>
      <c r="G7" s="12"/>
    </row>
    <row r="8" spans="1:7">
      <c r="A8" s="12"/>
      <c r="B8" s="15" t="s">
        <v>10</v>
      </c>
      <c r="C8" s="17">
        <v>3</v>
      </c>
      <c r="D8" s="12"/>
      <c r="E8" s="12"/>
      <c r="F8" s="69" t="s">
        <v>11</v>
      </c>
      <c r="G8" s="12"/>
    </row>
    <row r="9" spans="1:7">
      <c r="B9" s="84" t="s">
        <v>12</v>
      </c>
      <c r="C9" s="138"/>
      <c r="D9" s="138"/>
      <c r="E9" s="138"/>
      <c r="F9" s="138"/>
      <c r="G9" s="12"/>
    </row>
    <row r="10" spans="1:7">
      <c r="A10" s="12"/>
      <c r="B10" s="27" t="s">
        <v>13</v>
      </c>
      <c r="C10" s="14" t="s">
        <v>14</v>
      </c>
      <c r="D10" s="14" t="s">
        <v>15</v>
      </c>
      <c r="E10" s="14" t="s">
        <v>16</v>
      </c>
      <c r="F10" s="28" t="s">
        <v>17</v>
      </c>
      <c r="G10" s="12"/>
    </row>
    <row r="11" ht="19.5" customHeight="1" spans="1:7">
      <c r="A11" s="12"/>
      <c r="B11" s="15" t="s">
        <v>18</v>
      </c>
      <c r="C11" s="139">
        <f>80</f>
        <v>80</v>
      </c>
      <c r="D11" s="139">
        <f>100</f>
        <v>100</v>
      </c>
      <c r="E11" s="139">
        <f t="shared" ref="E11:E17" si="0">D11-C11</f>
        <v>20</v>
      </c>
      <c r="F11" s="69" t="s">
        <v>19</v>
      </c>
      <c r="G11" s="12"/>
    </row>
    <row r="12" spans="1:7">
      <c r="A12" s="12"/>
      <c r="B12" s="15" t="s">
        <v>20</v>
      </c>
      <c r="C12" s="139">
        <f>C11/$C$5</f>
        <v>100</v>
      </c>
      <c r="D12" s="139">
        <f>D11/$C$5</f>
        <v>125</v>
      </c>
      <c r="E12" s="139">
        <f t="shared" si="0"/>
        <v>25</v>
      </c>
      <c r="F12" s="69" t="s">
        <v>21</v>
      </c>
      <c r="G12" s="12"/>
    </row>
    <row r="13" spans="1:7">
      <c r="A13" s="12"/>
      <c r="B13" s="140" t="s">
        <v>22</v>
      </c>
      <c r="C13" s="141">
        <f>C12/$C$6</f>
        <v>312.5</v>
      </c>
      <c r="D13" s="141">
        <f>D12/$C$6</f>
        <v>390.625</v>
      </c>
      <c r="E13" s="141">
        <f t="shared" si="0"/>
        <v>78.125</v>
      </c>
      <c r="F13" s="69" t="s">
        <v>23</v>
      </c>
      <c r="G13" s="12"/>
    </row>
    <row r="14" spans="1:7">
      <c r="A14" s="12"/>
      <c r="B14" s="15" t="s">
        <v>24</v>
      </c>
      <c r="C14" s="139">
        <f>C13/$C$7</f>
        <v>12.0192307692308</v>
      </c>
      <c r="D14" s="139">
        <f>D13/$C$7</f>
        <v>15.0240384615385</v>
      </c>
      <c r="E14" s="139">
        <f t="shared" si="0"/>
        <v>3.00480769230769</v>
      </c>
      <c r="F14" s="69" t="s">
        <v>25</v>
      </c>
      <c r="G14" s="12"/>
    </row>
    <row r="15" spans="1:7">
      <c r="A15" s="12"/>
      <c r="B15" s="140" t="s">
        <v>26</v>
      </c>
      <c r="C15" s="141">
        <f>C14*$C$8</f>
        <v>36.0576923076923</v>
      </c>
      <c r="D15" s="141">
        <f>D14*$C$8</f>
        <v>45.0721153846154</v>
      </c>
      <c r="E15" s="141">
        <f t="shared" si="0"/>
        <v>9.01442307692308</v>
      </c>
      <c r="F15" s="69" t="s">
        <v>27</v>
      </c>
      <c r="G15" s="12"/>
    </row>
    <row r="16" spans="1:7">
      <c r="A16" s="12"/>
      <c r="B16" s="15" t="s">
        <v>28</v>
      </c>
      <c r="C16" s="139">
        <f>C12/$C$7</f>
        <v>3.84615384615385</v>
      </c>
      <c r="D16" s="139">
        <f>D12/$C$7</f>
        <v>4.80769230769231</v>
      </c>
      <c r="E16" s="139">
        <f t="shared" si="0"/>
        <v>0.961538461538461</v>
      </c>
      <c r="F16" s="69" t="s">
        <v>29</v>
      </c>
      <c r="G16" s="12"/>
    </row>
    <row r="17" spans="1:7">
      <c r="A17" s="12"/>
      <c r="B17" s="15" t="s">
        <v>30</v>
      </c>
      <c r="C17" s="142">
        <f>C11/$C$7</f>
        <v>3.07692307692308</v>
      </c>
      <c r="D17" s="142">
        <f>D11/$C$7</f>
        <v>3.84615384615385</v>
      </c>
      <c r="E17" s="142">
        <f t="shared" si="0"/>
        <v>0.769230769230769</v>
      </c>
      <c r="F17" s="69" t="s">
        <v>31</v>
      </c>
      <c r="G17" s="12"/>
    </row>
    <row r="18" spans="1:7">
      <c r="B18" s="84" t="s">
        <v>32</v>
      </c>
      <c r="C18" s="85"/>
      <c r="D18" s="85"/>
      <c r="E18" s="85"/>
      <c r="F18" s="85"/>
      <c r="G18" s="12"/>
    </row>
    <row r="19" spans="1:7">
      <c r="A19" s="12"/>
      <c r="B19" s="35" t="s">
        <v>33</v>
      </c>
      <c r="C19" s="12"/>
      <c r="D19" s="12"/>
      <c r="E19" s="12"/>
      <c r="F19" s="12"/>
      <c r="G19" s="12"/>
    </row>
    <row r="20" ht="20" customHeight="1" spans="1:7">
      <c r="A20" s="12"/>
      <c r="B20" s="23" t="s">
        <v>34</v>
      </c>
      <c r="C20" s="23"/>
      <c r="D20" s="23"/>
      <c r="E20" s="23"/>
      <c r="F20" s="23"/>
      <c r="G20" s="12"/>
    </row>
    <row r="21" ht="21" customHeight="1" spans="1:7">
      <c r="A21" s="12"/>
      <c r="B21" s="22" t="s">
        <v>35</v>
      </c>
      <c r="C21" s="12"/>
      <c r="D21" s="12"/>
      <c r="E21" s="12"/>
      <c r="F21" s="12"/>
      <c r="G21" s="12"/>
    </row>
    <row r="22" ht="19" customHeight="1" spans="1:7">
      <c r="A22" s="12"/>
      <c r="B22" s="23" t="s">
        <v>36</v>
      </c>
      <c r="C22" s="23"/>
      <c r="D22" s="23"/>
      <c r="E22" s="23"/>
      <c r="F22" s="23"/>
      <c r="G22" s="12"/>
    </row>
    <row r="23" ht="16" customHeight="1" spans="1:7">
      <c r="A23" s="12"/>
      <c r="B23" s="35" t="s">
        <v>37</v>
      </c>
      <c r="C23" s="12"/>
      <c r="D23" s="12"/>
      <c r="E23" s="12"/>
      <c r="F23" s="12"/>
      <c r="G23" s="12"/>
    </row>
    <row r="24" spans="1:7">
      <c r="A24" s="12"/>
      <c r="B24" s="23" t="s">
        <v>38</v>
      </c>
      <c r="C24" s="23"/>
      <c r="D24" s="23"/>
      <c r="E24" s="23"/>
      <c r="F24" s="23"/>
      <c r="G24" s="12"/>
    </row>
    <row r="26" ht="42" customHeight="1"/>
    <row r="29" ht="42" customHeight="1"/>
  </sheetData>
  <mergeCells count="4">
    <mergeCell ref="B1:F1"/>
    <mergeCell ref="B20:F20"/>
    <mergeCell ref="B22:F22"/>
    <mergeCell ref="B24:F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showGridLines="0" workbookViewId="0">
      <pane ySplit="4" topLeftCell="A5" activePane="bottomLeft" state="frozen"/>
      <selection/>
      <selection pane="bottomLeft" activeCell="C10" sqref="C10"/>
    </sheetView>
  </sheetViews>
  <sheetFormatPr defaultColWidth="8.6796875" defaultRowHeight="16.8" outlineLevelCol="5"/>
  <cols>
    <col min="1" max="1" width="4" customWidth="1"/>
    <col min="2" max="2" width="42" customWidth="1"/>
    <col min="3" max="4" width="18" customWidth="1"/>
    <col min="5" max="5" width="14" customWidth="1"/>
    <col min="6" max="6" width="62" customWidth="1"/>
  </cols>
  <sheetData>
    <row r="1" spans="1:6">
      <c r="A1" s="105" t="s">
        <v>39</v>
      </c>
      <c r="B1" s="106"/>
      <c r="C1" s="106"/>
      <c r="D1" s="106"/>
      <c r="E1" s="106"/>
      <c r="F1" s="107"/>
    </row>
    <row r="2" spans="1:6">
      <c r="A2" s="108"/>
      <c r="B2" s="109"/>
      <c r="C2" s="109"/>
      <c r="D2" s="109"/>
      <c r="E2" s="109"/>
      <c r="F2" s="110"/>
    </row>
    <row r="3" spans="1:6">
      <c r="A3" s="108"/>
      <c r="B3" s="109"/>
      <c r="C3" s="109"/>
      <c r="D3" s="109"/>
      <c r="E3" s="109"/>
      <c r="F3" s="110"/>
    </row>
    <row r="4" spans="1:6">
      <c r="A4" s="111"/>
      <c r="B4" s="112"/>
      <c r="C4" s="112"/>
      <c r="D4" s="112"/>
      <c r="E4" s="112"/>
      <c r="F4" s="113"/>
    </row>
    <row r="5" ht="19.5" customHeight="1" spans="1:6">
      <c r="B5" s="114" t="s">
        <v>40</v>
      </c>
      <c r="C5" s="115"/>
      <c r="D5" s="115"/>
      <c r="E5" s="115"/>
      <c r="F5" s="116"/>
    </row>
    <row r="6" ht="30" customHeight="1" spans="1:6">
      <c r="A6" s="12"/>
      <c r="B6" s="117" t="s">
        <v>41</v>
      </c>
      <c r="C6" s="117"/>
      <c r="D6" s="117"/>
      <c r="E6" s="117"/>
      <c r="F6" s="117"/>
    </row>
    <row r="7" spans="1:6">
      <c r="A7" s="12"/>
      <c r="B7" s="12"/>
      <c r="C7" s="12"/>
      <c r="D7" s="41"/>
      <c r="E7" s="42"/>
      <c r="F7" s="12"/>
    </row>
    <row r="8" ht="19.5" customHeight="1" spans="1:6">
      <c r="B8" s="114" t="s">
        <v>42</v>
      </c>
      <c r="C8" s="115"/>
      <c r="D8" s="115"/>
      <c r="E8" s="115"/>
      <c r="F8" s="116"/>
    </row>
    <row r="9" spans="1:6">
      <c r="A9" s="12"/>
      <c r="B9" s="15" t="s">
        <v>43</v>
      </c>
      <c r="C9" s="118">
        <v>2500000</v>
      </c>
      <c r="D9" s="41"/>
      <c r="E9" s="42"/>
      <c r="F9" s="69" t="s">
        <v>44</v>
      </c>
    </row>
    <row r="10" spans="1:6">
      <c r="A10" s="12"/>
      <c r="B10" s="15" t="s">
        <v>45</v>
      </c>
      <c r="C10" s="118">
        <v>35000</v>
      </c>
      <c r="D10" s="41"/>
      <c r="E10" s="42"/>
      <c r="F10" s="69" t="s">
        <v>46</v>
      </c>
    </row>
    <row r="11" spans="1:6">
      <c r="A11" s="12"/>
      <c r="B11" s="15" t="s">
        <v>47</v>
      </c>
      <c r="C11" s="118">
        <v>50000</v>
      </c>
      <c r="D11" s="41"/>
      <c r="E11" s="42"/>
      <c r="F11" s="69" t="s">
        <v>48</v>
      </c>
    </row>
    <row r="12" spans="1:6">
      <c r="A12" s="12"/>
      <c r="B12" s="15" t="s">
        <v>49</v>
      </c>
      <c r="C12" s="118">
        <v>4500000</v>
      </c>
      <c r="D12" s="41"/>
      <c r="E12" s="42"/>
      <c r="F12" s="69" t="s">
        <v>50</v>
      </c>
    </row>
    <row r="13" spans="1:6">
      <c r="A13" s="12"/>
      <c r="B13" s="15" t="s">
        <v>51</v>
      </c>
      <c r="C13" s="119">
        <v>0.8</v>
      </c>
      <c r="D13" s="41"/>
      <c r="E13" s="42"/>
      <c r="F13" s="69" t="s">
        <v>52</v>
      </c>
    </row>
    <row r="14" spans="1:6">
      <c r="A14" s="12"/>
      <c r="B14" s="15" t="s">
        <v>53</v>
      </c>
      <c r="C14" s="120">
        <v>-0.2</v>
      </c>
      <c r="D14" s="41"/>
      <c r="E14" s="42"/>
      <c r="F14" s="69" t="s">
        <v>54</v>
      </c>
    </row>
    <row r="15" spans="1:6">
      <c r="A15" s="12"/>
      <c r="B15" s="15" t="s">
        <v>55</v>
      </c>
      <c r="C15" s="119">
        <v>0.7</v>
      </c>
      <c r="D15" s="41"/>
      <c r="E15" s="42"/>
      <c r="F15" s="69" t="s">
        <v>56</v>
      </c>
    </row>
    <row r="16" spans="1:6">
      <c r="A16" s="12"/>
      <c r="B16" s="15" t="s">
        <v>57</v>
      </c>
      <c r="C16" s="120">
        <v>-0.4</v>
      </c>
      <c r="D16" s="41"/>
      <c r="E16" s="42"/>
      <c r="F16" s="69" t="s">
        <v>58</v>
      </c>
    </row>
    <row r="17" spans="1:6">
      <c r="A17" s="12"/>
      <c r="B17" s="15" t="s">
        <v>59</v>
      </c>
      <c r="C17" s="121">
        <v>250</v>
      </c>
      <c r="D17" s="41"/>
      <c r="E17" s="42"/>
      <c r="F17" s="69" t="s">
        <v>60</v>
      </c>
    </row>
    <row r="18" spans="1:6">
      <c r="B18" s="114" t="s">
        <v>61</v>
      </c>
      <c r="C18" s="115"/>
      <c r="D18" s="115"/>
      <c r="E18" s="115"/>
      <c r="F18" s="116"/>
    </row>
    <row r="19" ht="19.5" customHeight="1" spans="1:6">
      <c r="A19" s="12"/>
      <c r="B19" s="27" t="s">
        <v>62</v>
      </c>
      <c r="C19" s="27" t="s">
        <v>63</v>
      </c>
      <c r="D19" s="122" t="s">
        <v>64</v>
      </c>
      <c r="E19" s="123"/>
      <c r="F19" s="28" t="s">
        <v>17</v>
      </c>
    </row>
    <row r="20" spans="1:6">
      <c r="A20" s="12"/>
      <c r="B20" s="66">
        <v>0</v>
      </c>
      <c r="C20" s="66">
        <v>0.2499</v>
      </c>
      <c r="D20" s="124">
        <v>0.5</v>
      </c>
      <c r="E20" s="125"/>
      <c r="F20" s="69" t="s">
        <v>65</v>
      </c>
    </row>
    <row r="21" spans="1:6">
      <c r="A21" s="12"/>
      <c r="B21" s="66">
        <v>0.25</v>
      </c>
      <c r="C21" s="66">
        <v>0.2999</v>
      </c>
      <c r="D21" s="124">
        <v>0.8</v>
      </c>
      <c r="E21" s="125"/>
      <c r="F21" s="69" t="s">
        <v>66</v>
      </c>
    </row>
    <row r="22" spans="1:6">
      <c r="A22" s="12"/>
      <c r="B22" s="126">
        <v>0.3</v>
      </c>
      <c r="C22" s="126">
        <v>0.3599</v>
      </c>
      <c r="D22" s="127">
        <v>1</v>
      </c>
      <c r="E22" s="128"/>
      <c r="F22" s="69" t="s">
        <v>67</v>
      </c>
    </row>
    <row r="23" spans="1:6">
      <c r="A23" s="12"/>
      <c r="B23" s="66">
        <v>0.36</v>
      </c>
      <c r="C23" s="66">
        <v>0.4299</v>
      </c>
      <c r="D23" s="124">
        <v>1.2</v>
      </c>
      <c r="E23" s="125"/>
      <c r="F23" s="69" t="s">
        <v>68</v>
      </c>
    </row>
    <row r="24" spans="1:6">
      <c r="A24" s="12"/>
      <c r="B24" s="66">
        <v>0.43</v>
      </c>
      <c r="C24" s="66">
        <v>1</v>
      </c>
      <c r="D24" s="124">
        <v>1.4</v>
      </c>
      <c r="E24" s="125"/>
      <c r="F24" s="69" t="s">
        <v>69</v>
      </c>
    </row>
    <row r="25" spans="1:6">
      <c r="B25" s="129" t="s">
        <v>70</v>
      </c>
      <c r="C25" s="130"/>
      <c r="D25" s="131"/>
      <c r="E25" s="132"/>
      <c r="F25" s="130"/>
    </row>
    <row r="26" spans="1:6">
      <c r="A26" s="12"/>
      <c r="B26" s="27" t="s">
        <v>62</v>
      </c>
      <c r="C26" s="27" t="s">
        <v>63</v>
      </c>
      <c r="D26" s="122" t="s">
        <v>64</v>
      </c>
      <c r="E26" s="123"/>
      <c r="F26" s="28" t="s">
        <v>17</v>
      </c>
    </row>
    <row r="27" ht="19.5" customHeight="1" spans="1:6">
      <c r="A27" s="12"/>
      <c r="B27" s="66">
        <v>0</v>
      </c>
      <c r="C27" s="66">
        <v>0.7999</v>
      </c>
      <c r="D27" s="124">
        <v>0.75</v>
      </c>
      <c r="E27" s="125"/>
      <c r="F27" s="69" t="s">
        <v>71</v>
      </c>
    </row>
    <row r="28" spans="1:6">
      <c r="A28" s="12"/>
      <c r="B28" s="66">
        <v>0.8</v>
      </c>
      <c r="C28" s="66">
        <v>0.8999</v>
      </c>
      <c r="D28" s="124">
        <v>0.9</v>
      </c>
      <c r="E28" s="125"/>
      <c r="F28" s="69" t="s">
        <v>72</v>
      </c>
    </row>
    <row r="29" spans="1:6">
      <c r="A29" s="12"/>
      <c r="B29" s="126">
        <v>0.9</v>
      </c>
      <c r="C29" s="126">
        <v>0.9499</v>
      </c>
      <c r="D29" s="127">
        <v>1</v>
      </c>
      <c r="E29" s="128"/>
      <c r="F29" s="69" t="s">
        <v>73</v>
      </c>
    </row>
    <row r="30" spans="1:6">
      <c r="A30" s="12"/>
      <c r="B30" s="66">
        <v>0.95</v>
      </c>
      <c r="C30" s="66">
        <v>1</v>
      </c>
      <c r="D30" s="124">
        <v>1.1</v>
      </c>
      <c r="E30" s="125"/>
      <c r="F30" s="69" t="s">
        <v>74</v>
      </c>
    </row>
    <row r="31" spans="1:6">
      <c r="B31" s="114" t="s">
        <v>75</v>
      </c>
      <c r="C31" s="115"/>
      <c r="D31" s="115"/>
      <c r="E31" s="115"/>
      <c r="F31" s="116"/>
    </row>
    <row r="32" spans="1:6">
      <c r="A32" s="12"/>
      <c r="B32" s="133" t="s">
        <v>76</v>
      </c>
      <c r="C32" s="23" t="s">
        <v>77</v>
      </c>
      <c r="D32" s="23"/>
      <c r="E32" s="23"/>
      <c r="F32" s="23"/>
    </row>
    <row r="33" spans="1:6">
      <c r="A33" s="12"/>
      <c r="B33" s="133" t="s">
        <v>78</v>
      </c>
      <c r="C33" s="23" t="s">
        <v>79</v>
      </c>
      <c r="D33" s="23"/>
      <c r="E33" s="23"/>
      <c r="F33" s="23"/>
    </row>
    <row r="34" ht="37" customHeight="1" spans="1:6">
      <c r="A34" s="12"/>
      <c r="B34" s="133" t="s">
        <v>80</v>
      </c>
      <c r="C34" s="23" t="s">
        <v>81</v>
      </c>
      <c r="D34" s="23"/>
      <c r="E34" s="23"/>
      <c r="F34" s="23"/>
    </row>
    <row r="35" ht="37" customHeight="1" spans="1:6">
      <c r="A35" s="12"/>
      <c r="B35" s="133" t="s">
        <v>82</v>
      </c>
      <c r="C35" s="23" t="s">
        <v>83</v>
      </c>
      <c r="D35" s="23"/>
      <c r="E35" s="23"/>
      <c r="F35" s="23"/>
    </row>
    <row r="36" ht="21.75" customHeight="1" spans="1:6">
      <c r="A36" s="12"/>
      <c r="B36" s="133" t="s">
        <v>84</v>
      </c>
      <c r="C36" s="23" t="s">
        <v>85</v>
      </c>
      <c r="D36" s="23"/>
      <c r="E36" s="23"/>
      <c r="F36" s="23"/>
    </row>
    <row r="37" ht="49.5" customHeight="1" spans="1:6">
      <c r="A37" s="12"/>
      <c r="B37" s="133" t="s">
        <v>86</v>
      </c>
      <c r="C37" s="23" t="s">
        <v>87</v>
      </c>
      <c r="D37" s="23"/>
      <c r="E37" s="23"/>
      <c r="F37" s="23"/>
    </row>
    <row r="38" ht="26" customHeight="1" spans="1:6">
      <c r="A38" s="12"/>
      <c r="B38" s="133" t="s">
        <v>88</v>
      </c>
      <c r="C38" s="23" t="s">
        <v>89</v>
      </c>
      <c r="D38" s="23"/>
      <c r="E38" s="23"/>
      <c r="F38" s="23"/>
    </row>
    <row r="39" ht="21.75" customHeight="1"/>
    <row r="40" ht="36" customHeight="1"/>
    <row r="41" ht="36" customHeight="1"/>
  </sheetData>
  <mergeCells count="34">
    <mergeCell ref="B5:F5"/>
    <mergeCell ref="B6:F6"/>
    <mergeCell ref="D7:E7"/>
    <mergeCell ref="B8:F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B18:F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29:E29"/>
    <mergeCell ref="D30:E30"/>
    <mergeCell ref="B31:F31"/>
    <mergeCell ref="C32:F32"/>
    <mergeCell ref="C33:F33"/>
    <mergeCell ref="C34:F34"/>
    <mergeCell ref="C35:F35"/>
    <mergeCell ref="C36:F36"/>
    <mergeCell ref="C37:F37"/>
    <mergeCell ref="C38:F38"/>
    <mergeCell ref="A1:F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workbookViewId="0">
      <pane ySplit="4" topLeftCell="A9" activePane="bottomLeft" state="frozen"/>
      <selection/>
      <selection pane="bottomLeft" activeCell="B4" sqref="B4"/>
    </sheetView>
  </sheetViews>
  <sheetFormatPr defaultColWidth="8.6796875" defaultRowHeight="16.8" outlineLevelCol="5"/>
  <cols>
    <col min="1" max="1" width="4" customWidth="1"/>
    <col min="2" max="2" width="48" customWidth="1"/>
    <col min="3" max="3" width="20" customWidth="1"/>
    <col min="4" max="4" width="6" customWidth="1"/>
    <col min="5" max="5" width="20" customWidth="1"/>
    <col min="6" max="6" width="37.234375" customWidth="1"/>
  </cols>
  <sheetData>
    <row r="1" spans="1:6">
      <c r="A1" s="75" t="s">
        <v>90</v>
      </c>
      <c r="B1" s="76"/>
      <c r="C1" s="76"/>
      <c r="D1" s="76"/>
      <c r="E1" s="76"/>
      <c r="F1" s="77"/>
    </row>
    <row r="2" spans="1:6">
      <c r="A2" s="78"/>
      <c r="B2" s="79"/>
      <c r="C2" s="79"/>
      <c r="D2" s="79"/>
      <c r="E2" s="79"/>
      <c r="F2" s="80"/>
    </row>
    <row r="3" ht="28" customHeight="1" spans="1:6">
      <c r="A3" s="81"/>
      <c r="B3" s="82"/>
      <c r="C3" s="82"/>
      <c r="D3" s="82"/>
      <c r="E3" s="82"/>
      <c r="F3" s="83"/>
    </row>
    <row r="4" spans="1:6">
      <c r="B4" s="84" t="s">
        <v>91</v>
      </c>
      <c r="C4" s="85"/>
      <c r="D4" s="86"/>
      <c r="E4" s="87"/>
      <c r="F4" s="88"/>
    </row>
    <row r="5" ht="19.5" customHeight="1" spans="1:6">
      <c r="A5" s="12"/>
      <c r="B5" s="15" t="s">
        <v>92</v>
      </c>
      <c r="C5" s="17">
        <v>280</v>
      </c>
      <c r="D5" s="89" t="s">
        <v>93</v>
      </c>
      <c r="E5" s="90"/>
      <c r="F5" s="91"/>
    </row>
    <row r="6" spans="1:6">
      <c r="A6" s="12"/>
      <c r="B6" s="15" t="s">
        <v>94</v>
      </c>
      <c r="C6" s="17">
        <v>92</v>
      </c>
      <c r="D6" s="89" t="s">
        <v>95</v>
      </c>
      <c r="E6" s="90"/>
      <c r="F6" s="91"/>
    </row>
    <row r="7" spans="1:6">
      <c r="A7" s="12"/>
      <c r="B7" s="15" t="s">
        <v>96</v>
      </c>
      <c r="C7" s="17">
        <v>74</v>
      </c>
      <c r="D7" s="89" t="s">
        <v>97</v>
      </c>
      <c r="E7" s="90"/>
      <c r="F7" s="91"/>
    </row>
    <row r="8" spans="1:6">
      <c r="A8" s="12"/>
      <c r="B8" s="15" t="s">
        <v>98</v>
      </c>
      <c r="C8" s="65">
        <v>0.93</v>
      </c>
      <c r="D8" s="89" t="s">
        <v>99</v>
      </c>
      <c r="E8" s="90"/>
      <c r="F8" s="91"/>
    </row>
    <row r="9" spans="1:6">
      <c r="A9" s="12"/>
      <c r="B9" s="15" t="s">
        <v>100</v>
      </c>
      <c r="C9" s="17">
        <v>1</v>
      </c>
      <c r="D9" s="89" t="s">
        <v>101</v>
      </c>
      <c r="E9" s="90"/>
      <c r="F9" s="91"/>
    </row>
    <row r="10" spans="1:6">
      <c r="B10" s="84" t="s">
        <v>102</v>
      </c>
      <c r="C10" s="85"/>
      <c r="D10" s="92"/>
      <c r="E10" s="93"/>
      <c r="F10" s="94"/>
    </row>
    <row r="11" spans="1:6">
      <c r="A11" s="12"/>
      <c r="B11" s="95" t="s">
        <v>103</v>
      </c>
      <c r="C11" s="96">
        <f>IF(C5=0,0,C6/C5)</f>
        <v>0.328571428571429</v>
      </c>
      <c r="D11" s="89" t="s">
        <v>104</v>
      </c>
      <c r="E11" s="90"/>
      <c r="F11" s="97"/>
    </row>
    <row r="12" ht="19.5" customHeight="1" spans="1:6">
      <c r="A12" s="12"/>
      <c r="B12" s="95" t="s">
        <v>105</v>
      </c>
      <c r="C12" s="96">
        <f>IF(C6=0,0,C7/C6)</f>
        <v>0.804347826086957</v>
      </c>
      <c r="D12" s="89" t="s">
        <v>106</v>
      </c>
      <c r="E12" s="90"/>
      <c r="F12" s="91"/>
    </row>
    <row r="13" spans="1:6">
      <c r="A13" s="12"/>
      <c r="B13" s="95" t="s">
        <v>107</v>
      </c>
      <c r="C13" s="96">
        <f>IF(C5=0,0,C7/C5)</f>
        <v>0.264285714285714</v>
      </c>
      <c r="D13" s="89" t="s">
        <v>108</v>
      </c>
      <c r="E13" s="90"/>
      <c r="F13" s="91"/>
    </row>
    <row r="14" spans="1:6">
      <c r="B14" s="84" t="s">
        <v>109</v>
      </c>
      <c r="C14" s="85"/>
      <c r="D14" s="92"/>
      <c r="E14" s="93"/>
      <c r="F14" s="94"/>
    </row>
    <row r="15" spans="1:6">
      <c r="A15" s="12"/>
      <c r="B15" s="95" t="s">
        <v>110</v>
      </c>
      <c r="C15" s="67">
        <f>INDEX('KPI qoidalari'!$D$20:$D$24,MATCH(C11,'KPI qoidalari'!$B$20:$B$24,1))</f>
        <v>1</v>
      </c>
      <c r="D15" s="89" t="s">
        <v>111</v>
      </c>
      <c r="E15" s="90"/>
      <c r="F15" s="91"/>
    </row>
    <row r="16" spans="1:6">
      <c r="A16" s="12"/>
      <c r="B16" s="95" t="s">
        <v>112</v>
      </c>
      <c r="C16" s="67">
        <f>IF(C12&lt;'KPI qoidalari'!$C$15,'KPI qoidalari'!$C$16,IF(C12&lt;'KPI qoidalari'!$C$13,'KPI qoidalari'!$C$14,0))</f>
        <v>0</v>
      </c>
      <c r="D16" s="89" t="s">
        <v>113</v>
      </c>
      <c r="E16" s="90"/>
      <c r="F16" s="91"/>
    </row>
    <row r="17" ht="19.5" customHeight="1" spans="1:6">
      <c r="A17" s="12"/>
      <c r="B17" s="95" t="s">
        <v>114</v>
      </c>
      <c r="C17" s="67">
        <f>IF(C9&gt;=5,-0.2,0)</f>
        <v>0</v>
      </c>
      <c r="D17" s="89" t="s">
        <v>115</v>
      </c>
      <c r="E17" s="90"/>
      <c r="F17" s="91"/>
    </row>
    <row r="18" spans="1:6">
      <c r="A18" s="12"/>
      <c r="B18" s="98" t="s">
        <v>116</v>
      </c>
      <c r="C18" s="99">
        <f>MAX(0,C15+C16+C17)</f>
        <v>1</v>
      </c>
      <c r="D18" s="89" t="s">
        <v>117</v>
      </c>
      <c r="E18" s="90"/>
      <c r="F18" s="91"/>
    </row>
    <row r="19" spans="1:6">
      <c r="A19" s="12"/>
      <c r="B19" s="95" t="s">
        <v>118</v>
      </c>
      <c r="C19" s="67">
        <f>INDEX('KPI qoidalari'!$D$27:$D$30,MATCH(C8,'KPI qoidalari'!$B$27:$B$30,1))</f>
        <v>1</v>
      </c>
      <c r="D19" s="89" t="s">
        <v>119</v>
      </c>
      <c r="E19" s="90"/>
      <c r="F19" s="91"/>
    </row>
    <row r="20" spans="1:6">
      <c r="B20" s="84" t="s">
        <v>120</v>
      </c>
      <c r="C20" s="85"/>
      <c r="D20" s="92"/>
      <c r="E20" s="93"/>
      <c r="F20" s="94"/>
    </row>
    <row r="21" spans="1:6">
      <c r="A21" s="12"/>
      <c r="B21" s="15" t="s">
        <v>121</v>
      </c>
      <c r="C21" s="18">
        <f>'KPI qoidalari'!$C$9</f>
        <v>2500000</v>
      </c>
      <c r="D21" s="89" t="s">
        <v>122</v>
      </c>
      <c r="E21" s="90"/>
      <c r="F21" s="91"/>
    </row>
    <row r="22" spans="1:6">
      <c r="A22" s="12"/>
      <c r="B22" s="15" t="s">
        <v>123</v>
      </c>
      <c r="C22" s="18">
        <f>C7*'KPI qoidalari'!$C$10*C18*C19</f>
        <v>2590000</v>
      </c>
      <c r="D22" s="89" t="s">
        <v>124</v>
      </c>
      <c r="E22" s="90"/>
      <c r="F22" s="91"/>
    </row>
    <row r="23" spans="1:6">
      <c r="A23" s="12"/>
      <c r="B23" s="15" t="s">
        <v>125</v>
      </c>
      <c r="C23" s="18">
        <f>-C9*'KPI qoidalari'!$C$11</f>
        <v>-50000</v>
      </c>
      <c r="D23" s="89" t="s">
        <v>126</v>
      </c>
      <c r="E23" s="90"/>
      <c r="F23" s="91"/>
    </row>
    <row r="24" ht="19.5" customHeight="1" spans="1:6">
      <c r="A24" s="12"/>
      <c r="B24" s="19" t="s">
        <v>127</v>
      </c>
      <c r="C24" s="21">
        <f>C21+C22+C23</f>
        <v>5040000</v>
      </c>
      <c r="D24" s="89" t="s">
        <v>128</v>
      </c>
      <c r="E24" s="90"/>
      <c r="F24" s="91"/>
    </row>
    <row r="25" ht="18" customHeight="1" spans="1:6">
      <c r="A25" s="12"/>
      <c r="B25" s="19" t="s">
        <v>129</v>
      </c>
      <c r="C25" s="21">
        <f>MAX(C24,'KPI qoidalari'!$C$12)</f>
        <v>5040000</v>
      </c>
      <c r="D25" s="89" t="s">
        <v>130</v>
      </c>
      <c r="E25" s="90"/>
      <c r="F25" s="91"/>
    </row>
    <row r="26" ht="18" customHeight="1" spans="1:6">
      <c r="B26" s="84" t="s">
        <v>131</v>
      </c>
      <c r="C26" s="85"/>
      <c r="D26" s="92"/>
      <c r="E26" s="93"/>
      <c r="F26" s="94"/>
    </row>
    <row r="27" ht="18" customHeight="1" spans="1:6">
      <c r="A27" s="12"/>
      <c r="B27" s="95" t="s">
        <v>132</v>
      </c>
      <c r="C27" s="17">
        <f>90</f>
        <v>90</v>
      </c>
      <c r="D27" s="89" t="s">
        <v>133</v>
      </c>
      <c r="E27" s="90"/>
      <c r="F27" s="91"/>
    </row>
    <row r="28" ht="18" customHeight="1" spans="1:6">
      <c r="A28" s="12"/>
      <c r="B28" s="95" t="s">
        <v>134</v>
      </c>
      <c r="C28" s="66">
        <f>IF(C27=0,0,C7/C27)</f>
        <v>0.822222222222222</v>
      </c>
      <c r="D28" s="100"/>
      <c r="E28" s="101"/>
      <c r="F28" s="102"/>
    </row>
    <row r="29" ht="18" customHeight="1" spans="1:6">
      <c r="A29" s="12"/>
      <c r="B29" s="95" t="s">
        <v>135</v>
      </c>
      <c r="C29" s="103" t="str">
        <f>IF(C5&lt;'KPI qoidalari'!$C$17,"HA — reja qayta hisoblanadi","yo'q — lid yetarli")</f>
        <v>yo'q — lid yetarli</v>
      </c>
      <c r="D29" s="89" t="s">
        <v>136</v>
      </c>
      <c r="E29" s="90"/>
      <c r="F29" s="91"/>
    </row>
    <row r="30" spans="1:6">
      <c r="A30" s="12"/>
      <c r="B30" s="95" t="s">
        <v>137</v>
      </c>
      <c r="C30" s="104">
        <f>IF(C5&lt;'KPI qoidalari'!$C$17,C5*0.32*0.8,C27)</f>
        <v>90</v>
      </c>
      <c r="D30" s="89" t="s">
        <v>138</v>
      </c>
      <c r="E30" s="90"/>
      <c r="F30" s="91"/>
    </row>
    <row r="31" ht="19.5" customHeight="1"/>
  </sheetData>
  <mergeCells count="27">
    <mergeCell ref="D4:F4"/>
    <mergeCell ref="D5:F5"/>
    <mergeCell ref="D6:F6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A1:F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showGridLines="0" workbookViewId="0">
      <pane ySplit="4" topLeftCell="A5" activePane="bottomLeft" state="frozen"/>
      <selection/>
      <selection pane="bottomLeft" activeCell="H10" sqref="H10"/>
    </sheetView>
  </sheetViews>
  <sheetFormatPr defaultColWidth="8.6796875" defaultRowHeight="16.8"/>
  <cols>
    <col min="1" max="1" width="3" customWidth="1"/>
    <col min="2" max="2" width="26" customWidth="1"/>
    <col min="3" max="12" width="14" customWidth="1"/>
    <col min="13" max="13" width="28.515625" customWidth="1"/>
    <col min="14" max="14" width="37.234375" customWidth="1"/>
  </cols>
  <sheetData>
    <row r="1" spans="1:31">
      <c r="A1" s="50" t="s">
        <v>139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</row>
    <row r="2" spans="1:3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5"/>
    </row>
    <row r="3" spans="1:31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1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60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ht="33.75" customHeight="1" spans="1:31">
      <c r="A5" s="12"/>
      <c r="B5" s="61" t="s">
        <v>140</v>
      </c>
      <c r="C5" s="62" t="s">
        <v>141</v>
      </c>
      <c r="D5" s="62" t="s">
        <v>142</v>
      </c>
      <c r="E5" s="62" t="s">
        <v>143</v>
      </c>
      <c r="F5" s="62" t="s">
        <v>144</v>
      </c>
      <c r="G5" s="62" t="s">
        <v>145</v>
      </c>
      <c r="H5" s="63" t="s">
        <v>146</v>
      </c>
      <c r="I5" s="63" t="s">
        <v>147</v>
      </c>
      <c r="J5" s="63" t="s">
        <v>148</v>
      </c>
      <c r="K5" s="63" t="s">
        <v>149</v>
      </c>
      <c r="L5" s="63" t="s">
        <v>150</v>
      </c>
      <c r="M5" s="61" t="s">
        <v>151</v>
      </c>
      <c r="N5" s="64" t="s">
        <v>17</v>
      </c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31">
      <c r="A6" s="12"/>
      <c r="B6" s="15" t="s">
        <v>152</v>
      </c>
      <c r="C6" s="17">
        <v>240</v>
      </c>
      <c r="D6" s="17">
        <v>62</v>
      </c>
      <c r="E6" s="17">
        <v>50</v>
      </c>
      <c r="F6" s="65">
        <v>0.88</v>
      </c>
      <c r="G6" s="17">
        <v>2</v>
      </c>
      <c r="H6" s="66">
        <f t="shared" ref="H6:H11" si="0">D6/C6</f>
        <v>0.258333333333333</v>
      </c>
      <c r="I6" s="66">
        <f t="shared" ref="I6:I11" si="1">E6/D6</f>
        <v>0.806451612903226</v>
      </c>
      <c r="J6" s="67">
        <f>MAX(0,INDEX('KPI qoidalari'!$D$20:$D$24,MATCH(H6,'KPI qoidalari'!$B$20:$B$24,1))+IF(I6&lt;'KPI qoidalari'!$C$15,'KPI qoidalari'!$C$16,IF(I6&lt;'KPI qoidalari'!$C$13,'KPI qoidalari'!$C$14,0))+IF(G6&gt;=5,-0.2,0))</f>
        <v>0.8</v>
      </c>
      <c r="K6" s="67">
        <f>INDEX('KPI qoidalari'!$D$27:$D$30,MATCH(F6,'KPI qoidalari'!$B$27:$B$30,1))</f>
        <v>0.9</v>
      </c>
      <c r="L6" s="29">
        <f>E6*'KPI qoidalari'!$C$10*J6*K6</f>
        <v>1260000</v>
      </c>
      <c r="M6" s="68">
        <f>'KPI qoidalari'!$C$9+L6-G6*'KPI qoidalari'!$C$11</f>
        <v>3660000</v>
      </c>
      <c r="N6" s="69" t="s">
        <v>153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1">
      <c r="A7" s="12"/>
      <c r="B7" s="15" t="s">
        <v>154</v>
      </c>
      <c r="C7" s="17">
        <v>300</v>
      </c>
      <c r="D7" s="17">
        <v>96</v>
      </c>
      <c r="E7" s="17">
        <v>78</v>
      </c>
      <c r="F7" s="65">
        <v>0.92</v>
      </c>
      <c r="G7" s="17">
        <v>1</v>
      </c>
      <c r="H7" s="66">
        <f t="shared" si="0"/>
        <v>0.32</v>
      </c>
      <c r="I7" s="66">
        <f t="shared" si="1"/>
        <v>0.8125</v>
      </c>
      <c r="J7" s="67">
        <f>MAX(0,INDEX('KPI qoidalari'!$D$20:$D$24,MATCH(H7,'KPI qoidalari'!$B$20:$B$24,1))+IF(I7&lt;'KPI qoidalari'!$C$15,'KPI qoidalari'!$C$16,IF(I7&lt;'KPI qoidalari'!$C$13,'KPI qoidalari'!$C$14,0))+IF(G7&gt;=5,-0.2,0))</f>
        <v>1</v>
      </c>
      <c r="K7" s="67">
        <f>INDEX('KPI qoidalari'!$D$27:$D$30,MATCH(F7,'KPI qoidalari'!$B$27:$B$30,1))</f>
        <v>1</v>
      </c>
      <c r="L7" s="29">
        <f>E7*'KPI qoidalari'!$C$10*J7*K7</f>
        <v>2730000</v>
      </c>
      <c r="M7" s="68">
        <f>'KPI qoidalari'!$C$9+L7-G7*'KPI qoidalari'!$C$11</f>
        <v>5180000</v>
      </c>
      <c r="N7" s="69" t="s">
        <v>155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1">
      <c r="A8" s="12"/>
      <c r="B8" s="70" t="s">
        <v>156</v>
      </c>
      <c r="C8" s="17">
        <v>300</v>
      </c>
      <c r="D8" s="17">
        <v>99</v>
      </c>
      <c r="E8" s="17">
        <v>80</v>
      </c>
      <c r="F8" s="65">
        <v>0.93</v>
      </c>
      <c r="G8" s="17">
        <v>0</v>
      </c>
      <c r="H8" s="66">
        <f t="shared" si="0"/>
        <v>0.33</v>
      </c>
      <c r="I8" s="66">
        <f t="shared" si="1"/>
        <v>0.808080808080808</v>
      </c>
      <c r="J8" s="67">
        <f>MAX(0,INDEX('KPI qoidalari'!$D$20:$D$24,MATCH(H8,'KPI qoidalari'!$B$20:$B$24,1))+IF(I8&lt;'KPI qoidalari'!$C$15,'KPI qoidalari'!$C$16,IF(I8&lt;'KPI qoidalari'!$C$13,'KPI qoidalari'!$C$14,0))+IF(G8&gt;=5,-0.2,0))</f>
        <v>1</v>
      </c>
      <c r="K8" s="67">
        <f>INDEX('KPI qoidalari'!$D$27:$D$30,MATCH(F8,'KPI qoidalari'!$B$27:$B$30,1))</f>
        <v>1</v>
      </c>
      <c r="L8" s="29">
        <f>E8*'KPI qoidalari'!$C$10*J8*K8</f>
        <v>2800000</v>
      </c>
      <c r="M8" s="68">
        <f>'KPI qoidalari'!$C$9+L8-G8*'KPI qoidalari'!$C$11</f>
        <v>5300000</v>
      </c>
      <c r="N8" s="69" t="s">
        <v>157</v>
      </c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1">
      <c r="A9" s="12"/>
      <c r="B9" s="15" t="s">
        <v>158</v>
      </c>
      <c r="C9" s="17">
        <v>350</v>
      </c>
      <c r="D9" s="17">
        <v>119</v>
      </c>
      <c r="E9" s="17">
        <v>96</v>
      </c>
      <c r="F9" s="65">
        <v>0.95</v>
      </c>
      <c r="G9" s="17">
        <v>0</v>
      </c>
      <c r="H9" s="66">
        <f t="shared" si="0"/>
        <v>0.34</v>
      </c>
      <c r="I9" s="66">
        <f t="shared" si="1"/>
        <v>0.80672268907563</v>
      </c>
      <c r="J9" s="67">
        <f>MAX(0,INDEX('KPI qoidalari'!$D$20:$D$24,MATCH(H9,'KPI qoidalari'!$B$20:$B$24,1))+IF(I9&lt;'KPI qoidalari'!$C$15,'KPI qoidalari'!$C$16,IF(I9&lt;'KPI qoidalari'!$C$13,'KPI qoidalari'!$C$14,0))+IF(G9&gt;=5,-0.2,0))</f>
        <v>1</v>
      </c>
      <c r="K9" s="67">
        <f>INDEX('KPI qoidalari'!$D$27:$D$30,MATCH(F9,'KPI qoidalari'!$B$27:$B$30,1))</f>
        <v>1.1</v>
      </c>
      <c r="L9" s="29">
        <f>E9*'KPI qoidalari'!$C$10*J9*K9</f>
        <v>3696000</v>
      </c>
      <c r="M9" s="68">
        <f>'KPI qoidalari'!$C$9+L9-G9*'KPI qoidalari'!$C$11</f>
        <v>6196000</v>
      </c>
      <c r="N9" s="69" t="s">
        <v>159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1">
      <c r="A10" s="12"/>
      <c r="B10" s="15" t="s">
        <v>160</v>
      </c>
      <c r="C10" s="17">
        <v>330</v>
      </c>
      <c r="D10" s="17">
        <v>125</v>
      </c>
      <c r="E10" s="17">
        <v>100</v>
      </c>
      <c r="F10" s="65">
        <v>0.96</v>
      </c>
      <c r="G10" s="17">
        <v>0</v>
      </c>
      <c r="H10" s="66">
        <f t="shared" si="0"/>
        <v>0.378787878787879</v>
      </c>
      <c r="I10" s="66">
        <f t="shared" si="1"/>
        <v>0.8</v>
      </c>
      <c r="J10" s="67">
        <f>MAX(0,INDEX('KPI qoidalari'!$D$20:$D$24,MATCH(H10,'KPI qoidalari'!$B$20:$B$24,1))+IF(I10&lt;'KPI qoidalari'!$C$15,'KPI qoidalari'!$C$16,IF(I10&lt;'KPI qoidalari'!$C$13,'KPI qoidalari'!$C$14,0))+IF(G10&gt;=5,-0.2,0))</f>
        <v>1.2</v>
      </c>
      <c r="K10" s="67">
        <f>INDEX('KPI qoidalari'!$D$27:$D$30,MATCH(F10,'KPI qoidalari'!$B$27:$B$30,1))</f>
        <v>1.1</v>
      </c>
      <c r="L10" s="29">
        <f>E10*'KPI qoidalari'!$C$10*J10*K10</f>
        <v>4620000</v>
      </c>
      <c r="M10" s="68">
        <f>'KPI qoidalari'!$C$9+L10-G10*'KPI qoidalari'!$C$11</f>
        <v>7120000</v>
      </c>
      <c r="N10" s="69" t="s">
        <v>161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1">
      <c r="A11" s="12"/>
      <c r="B11" s="15" t="s">
        <v>162</v>
      </c>
      <c r="C11" s="17">
        <v>340</v>
      </c>
      <c r="D11" s="17">
        <v>145</v>
      </c>
      <c r="E11" s="17">
        <v>94</v>
      </c>
      <c r="F11" s="65">
        <v>0.9</v>
      </c>
      <c r="G11" s="17">
        <v>3</v>
      </c>
      <c r="H11" s="66">
        <f t="shared" si="0"/>
        <v>0.426470588235294</v>
      </c>
      <c r="I11" s="66">
        <f t="shared" si="1"/>
        <v>0.648275862068965</v>
      </c>
      <c r="J11" s="67">
        <f>MAX(0,INDEX('KPI qoidalari'!$D$20:$D$24,MATCH(H11,'KPI qoidalari'!$B$20:$B$24,1))+IF(I11&lt;'KPI qoidalari'!$C$15,'KPI qoidalari'!$C$16,IF(I11&lt;'KPI qoidalari'!$C$13,'KPI qoidalari'!$C$14,0))+IF(G11&gt;=5,-0.2,0))</f>
        <v>0.8</v>
      </c>
      <c r="K11" s="67">
        <f>INDEX('KPI qoidalari'!$D$27:$D$30,MATCH(F11,'KPI qoidalari'!$B$27:$B$30,1))</f>
        <v>1</v>
      </c>
      <c r="L11" s="29">
        <f>E11*'KPI qoidalari'!$C$10*J11*K11</f>
        <v>2632000</v>
      </c>
      <c r="M11" s="68">
        <f>'KPI qoidalari'!$C$9+L11-G11*'KPI qoidalari'!$C$11</f>
        <v>4982000</v>
      </c>
      <c r="N11" s="69" t="s">
        <v>163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1">
      <c r="A13" s="12"/>
      <c r="B13" s="71" t="s">
        <v>164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ht="30" customHeight="1" spans="1:31">
      <c r="A14" s="12"/>
      <c r="B14" s="23" t="s">
        <v>165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12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ht="30" customHeight="1" spans="1:31">
      <c r="A15" s="72"/>
      <c r="B15" s="73" t="s">
        <v>166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12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s="12" customFormat="1" ht="30" customHeight="1" spans="1:31">
      <c r="B16" s="23" t="s">
        <v>167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12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74"/>
    </row>
  </sheetData>
  <mergeCells count="4">
    <mergeCell ref="B14:M14"/>
    <mergeCell ref="B15:M15"/>
    <mergeCell ref="B16:M16"/>
    <mergeCell ref="A1:N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pane ySplit="4" topLeftCell="A5" activePane="bottomLeft" state="frozen"/>
      <selection/>
      <selection pane="bottomLeft" activeCell="B23" sqref="B23"/>
    </sheetView>
  </sheetViews>
  <sheetFormatPr defaultColWidth="8.6796875" defaultRowHeight="16.8" outlineLevelCol="5"/>
  <cols>
    <col min="1" max="1" width="4" hidden="1" customWidth="1"/>
    <col min="2" max="2" width="44" customWidth="1"/>
    <col min="3" max="5" width="16" customWidth="1"/>
    <col min="6" max="6" width="58" customWidth="1"/>
  </cols>
  <sheetData>
    <row r="1" spans="1:6">
      <c r="A1" s="1" t="s">
        <v>168</v>
      </c>
      <c r="B1" s="2"/>
      <c r="C1" s="2"/>
      <c r="D1" s="2"/>
      <c r="E1" s="2"/>
      <c r="F1" s="3"/>
    </row>
    <row r="2" spans="1:6">
      <c r="A2" s="4"/>
      <c r="B2" s="5"/>
      <c r="C2" s="5"/>
      <c r="D2" s="5"/>
      <c r="E2" s="5"/>
      <c r="F2" s="6"/>
    </row>
    <row r="3" spans="1:6">
      <c r="A3" s="4"/>
      <c r="B3" s="5"/>
      <c r="C3" s="5"/>
      <c r="D3" s="5"/>
      <c r="E3" s="5"/>
      <c r="F3" s="6"/>
    </row>
    <row r="4" spans="1:6">
      <c r="A4" s="7"/>
      <c r="B4" s="8"/>
      <c r="C4" s="8"/>
      <c r="D4" s="8"/>
      <c r="E4" s="8"/>
      <c r="F4" s="9"/>
    </row>
    <row r="5" ht="19.5" customHeight="1" spans="1:6">
      <c r="B5" s="37" t="s">
        <v>169</v>
      </c>
      <c r="C5" s="38"/>
      <c r="D5" s="39"/>
      <c r="E5" s="40"/>
      <c r="F5" s="38"/>
    </row>
    <row r="6" spans="1:6">
      <c r="B6" s="15" t="s">
        <v>170</v>
      </c>
      <c r="C6" s="17">
        <v>90</v>
      </c>
      <c r="D6" s="41"/>
      <c r="E6" s="42"/>
      <c r="F6" s="30" t="s">
        <v>171</v>
      </c>
    </row>
    <row r="7" spans="1:6">
      <c r="B7" s="15" t="s">
        <v>30</v>
      </c>
      <c r="C7" s="43">
        <f>$C$6/'Plan matematikasi'!$C$7</f>
        <v>3.46153846153846</v>
      </c>
      <c r="D7" s="41"/>
      <c r="E7" s="42"/>
      <c r="F7" s="30" t="s">
        <v>172</v>
      </c>
    </row>
    <row r="8" spans="1:6">
      <c r="B8" s="15" t="s">
        <v>28</v>
      </c>
      <c r="C8" s="43">
        <f>$C$6/'Plan matematikasi'!$C$5/'Plan matematikasi'!$C$7</f>
        <v>4.32692307692308</v>
      </c>
      <c r="D8" s="41"/>
      <c r="E8" s="42"/>
      <c r="F8" s="30" t="s">
        <v>173</v>
      </c>
    </row>
    <row r="9" spans="1:6">
      <c r="B9" s="15" t="s">
        <v>174</v>
      </c>
      <c r="C9" s="43">
        <f>$C$6/'Plan matematikasi'!$C$5/'Plan matematikasi'!$C$6/'Plan matematikasi'!$C$7</f>
        <v>13.5216346153846</v>
      </c>
      <c r="D9" s="41"/>
      <c r="E9" s="42"/>
      <c r="F9" s="30" t="s">
        <v>175</v>
      </c>
    </row>
    <row r="10" spans="1:6">
      <c r="B10" s="15" t="s">
        <v>26</v>
      </c>
      <c r="C10" s="44">
        <f>C9*'Plan matematikasi'!$C$8</f>
        <v>40.5649038461538</v>
      </c>
      <c r="D10" s="41"/>
      <c r="E10" s="42"/>
      <c r="F10" s="30" t="s">
        <v>176</v>
      </c>
    </row>
    <row r="11" spans="1:6">
      <c r="B11" s="37" t="s">
        <v>177</v>
      </c>
      <c r="C11" s="45"/>
      <c r="D11" s="46"/>
      <c r="E11" s="47"/>
      <c r="F11" s="48"/>
    </row>
    <row r="12" ht="19.5" customHeight="1" spans="1:6">
      <c r="B12" s="27" t="s">
        <v>178</v>
      </c>
      <c r="C12" s="27" t="s">
        <v>179</v>
      </c>
      <c r="D12" s="41"/>
      <c r="E12" s="42"/>
      <c r="F12" s="49" t="s">
        <v>180</v>
      </c>
    </row>
    <row r="13" spans="1:6">
      <c r="B13" s="15" t="s">
        <v>181</v>
      </c>
      <c r="C13" s="32" t="s">
        <v>182</v>
      </c>
      <c r="D13" s="41"/>
      <c r="E13" s="42"/>
      <c r="F13" s="30" t="s">
        <v>183</v>
      </c>
    </row>
    <row r="14" spans="1:6">
      <c r="B14" s="15" t="s">
        <v>184</v>
      </c>
      <c r="C14" s="32" t="s">
        <v>185</v>
      </c>
      <c r="D14" s="41"/>
      <c r="E14" s="42"/>
      <c r="F14" s="30" t="s">
        <v>186</v>
      </c>
    </row>
    <row r="15" spans="1:6">
      <c r="B15" s="15" t="s">
        <v>187</v>
      </c>
      <c r="C15" s="32" t="s">
        <v>185</v>
      </c>
      <c r="D15" s="41"/>
      <c r="E15" s="42"/>
      <c r="F15" s="30" t="s">
        <v>188</v>
      </c>
    </row>
    <row r="16" spans="1:6">
      <c r="B16" s="15" t="s">
        <v>189</v>
      </c>
      <c r="C16" s="32" t="s">
        <v>190</v>
      </c>
      <c r="D16" s="41"/>
      <c r="E16" s="42"/>
      <c r="F16" s="30" t="s">
        <v>191</v>
      </c>
    </row>
    <row r="17" spans="2:6">
      <c r="B17" s="15" t="s">
        <v>192</v>
      </c>
      <c r="C17" s="32" t="s">
        <v>193</v>
      </c>
      <c r="D17" s="41"/>
      <c r="E17" s="42"/>
      <c r="F17" s="30" t="s">
        <v>194</v>
      </c>
    </row>
    <row r="18" spans="2:6">
      <c r="B18" s="15" t="s">
        <v>195</v>
      </c>
      <c r="C18" s="32" t="s">
        <v>196</v>
      </c>
      <c r="D18" s="41"/>
      <c r="E18" s="42"/>
      <c r="F18" s="30" t="s">
        <v>197</v>
      </c>
    </row>
    <row r="19" spans="2:6">
      <c r="B19" s="15" t="s">
        <v>198</v>
      </c>
      <c r="C19" s="32" t="s">
        <v>193</v>
      </c>
      <c r="D19" s="41"/>
      <c r="E19" s="42"/>
      <c r="F19" s="30" t="s">
        <v>199</v>
      </c>
    </row>
    <row r="20" spans="2:6">
      <c r="B20" s="15" t="s">
        <v>200</v>
      </c>
      <c r="C20" s="32" t="s">
        <v>201</v>
      </c>
      <c r="D20" s="41"/>
      <c r="E20" s="42"/>
      <c r="F20" s="30" t="s">
        <v>202</v>
      </c>
    </row>
    <row r="21" spans="2:6">
      <c r="B21" s="15" t="s">
        <v>203</v>
      </c>
      <c r="C21" s="32" t="s">
        <v>204</v>
      </c>
      <c r="D21" s="41"/>
      <c r="E21" s="42"/>
      <c r="F21" s="30" t="s">
        <v>205</v>
      </c>
    </row>
    <row r="22" spans="2:6">
      <c r="B22" s="15" t="s">
        <v>206</v>
      </c>
      <c r="C22" s="32" t="s">
        <v>204</v>
      </c>
      <c r="D22" s="41"/>
      <c r="E22" s="42"/>
      <c r="F22" s="30" t="s">
        <v>207</v>
      </c>
    </row>
  </sheetData>
  <mergeCells count="19"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A1:F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showGridLines="0" workbookViewId="0">
      <pane ySplit="4" topLeftCell="A5" activePane="bottomLeft" state="frozen"/>
      <selection/>
      <selection pane="bottomLeft" activeCell="B25" sqref="B25:E25"/>
    </sheetView>
  </sheetViews>
  <sheetFormatPr defaultColWidth="8.6796875" defaultRowHeight="16.8" outlineLevelCol="4"/>
  <cols>
    <col min="1" max="1" width="4" customWidth="1"/>
    <col min="2" max="2" width="40" customWidth="1"/>
    <col min="3" max="4" width="30" customWidth="1"/>
    <col min="5" max="5" width="60" customWidth="1"/>
  </cols>
  <sheetData>
    <row r="1" spans="1:5">
      <c r="A1" s="1" t="s">
        <v>208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7"/>
      <c r="B4" s="8"/>
      <c r="C4" s="8"/>
      <c r="D4" s="8"/>
      <c r="E4" s="9"/>
    </row>
    <row r="5" ht="19.5" customHeight="1" spans="1:5">
      <c r="B5" s="25" t="s">
        <v>209</v>
      </c>
      <c r="C5" s="26"/>
      <c r="D5" s="26"/>
      <c r="E5" s="26"/>
    </row>
    <row r="6" spans="1:5">
      <c r="A6" s="12"/>
      <c r="B6" s="27" t="s">
        <v>210</v>
      </c>
      <c r="C6" s="14" t="s">
        <v>211</v>
      </c>
      <c r="D6" s="14" t="s">
        <v>212</v>
      </c>
      <c r="E6" s="28" t="s">
        <v>17</v>
      </c>
    </row>
    <row r="7" spans="1:5">
      <c r="A7" s="12"/>
      <c r="B7" s="15" t="s">
        <v>43</v>
      </c>
      <c r="C7" s="29">
        <v>2000000</v>
      </c>
      <c r="D7" s="29">
        <v>2500000</v>
      </c>
      <c r="E7" s="30" t="s">
        <v>213</v>
      </c>
    </row>
    <row r="8" spans="1:5">
      <c r="A8" s="12"/>
      <c r="B8" s="15" t="s">
        <v>214</v>
      </c>
      <c r="C8" s="29">
        <v>25000</v>
      </c>
      <c r="D8" s="29">
        <v>35000</v>
      </c>
      <c r="E8" s="30" t="s">
        <v>215</v>
      </c>
    </row>
    <row r="9" spans="1:5">
      <c r="A9" s="12"/>
      <c r="B9" s="15" t="s">
        <v>216</v>
      </c>
      <c r="C9" s="31" t="s">
        <v>217</v>
      </c>
      <c r="D9" s="31" t="s">
        <v>218</v>
      </c>
      <c r="E9" s="30" t="s">
        <v>219</v>
      </c>
    </row>
    <row r="10" spans="1:5">
      <c r="A10" s="12"/>
      <c r="B10" s="15" t="s">
        <v>179</v>
      </c>
      <c r="C10" s="31" t="s">
        <v>220</v>
      </c>
      <c r="D10" s="31" t="s">
        <v>221</v>
      </c>
      <c r="E10" s="30"/>
    </row>
    <row r="11" spans="1:5">
      <c r="A11" s="12"/>
      <c r="B11" s="15" t="s">
        <v>222</v>
      </c>
      <c r="C11" s="31" t="s">
        <v>223</v>
      </c>
      <c r="D11" s="31" t="s">
        <v>224</v>
      </c>
      <c r="E11" s="30" t="s">
        <v>225</v>
      </c>
    </row>
    <row r="12" spans="1:5">
      <c r="B12" s="25" t="s">
        <v>226</v>
      </c>
      <c r="C12" s="26"/>
      <c r="D12" s="26"/>
      <c r="E12" s="26"/>
    </row>
    <row r="13" ht="19.5" customHeight="1" spans="1:5">
      <c r="A13" s="12"/>
      <c r="B13" s="27" t="s">
        <v>227</v>
      </c>
      <c r="C13" s="27" t="s">
        <v>228</v>
      </c>
      <c r="D13" s="12"/>
      <c r="E13" s="28" t="s">
        <v>17</v>
      </c>
    </row>
    <row r="14" spans="1:5">
      <c r="A14" s="12"/>
      <c r="B14" s="15" t="s">
        <v>229</v>
      </c>
      <c r="C14" s="32" t="s">
        <v>230</v>
      </c>
      <c r="D14" s="12"/>
      <c r="E14" s="30" t="s">
        <v>231</v>
      </c>
    </row>
    <row r="15" spans="1:5">
      <c r="A15" s="12"/>
      <c r="B15" s="15" t="s">
        <v>232</v>
      </c>
      <c r="C15" s="32" t="s">
        <v>230</v>
      </c>
      <c r="D15" s="12"/>
      <c r="E15" s="30" t="s">
        <v>233</v>
      </c>
    </row>
    <row r="16" spans="1:5">
      <c r="A16" s="12"/>
      <c r="B16" s="15" t="s">
        <v>234</v>
      </c>
      <c r="C16" s="32" t="s">
        <v>230</v>
      </c>
      <c r="D16" s="12"/>
      <c r="E16" s="30" t="s">
        <v>235</v>
      </c>
    </row>
    <row r="17" spans="1:5">
      <c r="A17" s="12"/>
      <c r="B17" s="15" t="s">
        <v>236</v>
      </c>
      <c r="C17" s="33" t="s">
        <v>237</v>
      </c>
      <c r="D17" s="12"/>
      <c r="E17" s="30" t="s">
        <v>238</v>
      </c>
    </row>
    <row r="18" spans="1:5">
      <c r="A18" s="12"/>
      <c r="B18" s="15" t="s">
        <v>239</v>
      </c>
      <c r="C18" s="32" t="s">
        <v>212</v>
      </c>
      <c r="D18" s="12"/>
      <c r="E18" s="30" t="s">
        <v>240</v>
      </c>
    </row>
    <row r="19" spans="1:5">
      <c r="A19" s="12"/>
      <c r="B19" s="15" t="s">
        <v>241</v>
      </c>
      <c r="C19" s="32" t="s">
        <v>212</v>
      </c>
      <c r="D19" s="12"/>
      <c r="E19" s="30" t="s">
        <v>242</v>
      </c>
    </row>
    <row r="20" spans="1:5">
      <c r="A20" s="12"/>
      <c r="B20" s="15" t="s">
        <v>243</v>
      </c>
      <c r="C20" s="32" t="s">
        <v>212</v>
      </c>
      <c r="D20" s="12"/>
      <c r="E20" s="30" t="s">
        <v>244</v>
      </c>
    </row>
    <row r="21" spans="1:5">
      <c r="A21" s="12"/>
      <c r="B21" s="15" t="s">
        <v>245</v>
      </c>
      <c r="C21" s="32" t="s">
        <v>246</v>
      </c>
      <c r="D21" s="12"/>
      <c r="E21" s="30" t="s">
        <v>247</v>
      </c>
    </row>
    <row r="22" spans="1:5">
      <c r="B22" s="25" t="s">
        <v>248</v>
      </c>
      <c r="C22" s="34"/>
      <c r="D22" s="34"/>
      <c r="E22" s="34"/>
    </row>
    <row r="23" spans="1:5">
      <c r="A23" s="12"/>
      <c r="B23" s="35" t="s">
        <v>249</v>
      </c>
      <c r="C23" s="23" t="s">
        <v>250</v>
      </c>
      <c r="D23" s="23"/>
      <c r="E23" s="23"/>
    </row>
    <row r="24" ht="19.5" customHeight="1" spans="1:5">
      <c r="A24" s="12"/>
      <c r="B24" s="35" t="s">
        <v>251</v>
      </c>
      <c r="C24" s="23" t="s">
        <v>252</v>
      </c>
      <c r="D24" s="23"/>
      <c r="E24" s="23"/>
    </row>
    <row r="25" ht="30" customHeight="1" spans="1:5">
      <c r="A25" s="12"/>
      <c r="B25" s="36" t="s">
        <v>253</v>
      </c>
      <c r="C25" s="36"/>
      <c r="D25" s="36"/>
      <c r="E25" s="36"/>
    </row>
    <row r="26" ht="30" customHeight="1" spans="1:5">
      <c r="A26" s="12"/>
      <c r="B26" s="23" t="s">
        <v>254</v>
      </c>
      <c r="C26" s="23"/>
      <c r="D26" s="23"/>
      <c r="E26" s="23"/>
    </row>
    <row r="28" ht="27.75" customHeight="1"/>
    <row r="30" ht="39.75" customHeight="1"/>
  </sheetData>
  <mergeCells count="5">
    <mergeCell ref="C23:E23"/>
    <mergeCell ref="C24:E24"/>
    <mergeCell ref="B25:E25"/>
    <mergeCell ref="B26:E26"/>
    <mergeCell ref="A1:E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workbookViewId="0">
      <pane ySplit="4" topLeftCell="A5" activePane="bottomLeft" state="frozen"/>
      <selection/>
      <selection pane="bottomLeft" activeCell="C25" sqref="C25"/>
    </sheetView>
  </sheetViews>
  <sheetFormatPr defaultColWidth="8.6796875" defaultRowHeight="16.8" outlineLevelCol="4"/>
  <cols>
    <col min="1" max="1" width="4" customWidth="1"/>
    <col min="2" max="2" width="46" customWidth="1"/>
    <col min="3" max="3" width="20" customWidth="1"/>
    <col min="4" max="4" width="22.65625" customWidth="1"/>
    <col min="5" max="5" width="58" customWidth="1"/>
  </cols>
  <sheetData>
    <row r="1" spans="1:5">
      <c r="A1" s="1" t="s">
        <v>255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7"/>
      <c r="B4" s="8"/>
      <c r="C4" s="8"/>
      <c r="D4" s="8"/>
      <c r="E4" s="9"/>
    </row>
    <row r="5" ht="19.5" customHeight="1" spans="1:5">
      <c r="A5" s="10" t="s">
        <v>256</v>
      </c>
      <c r="B5" s="11"/>
      <c r="C5" s="11"/>
      <c r="D5" s="11"/>
      <c r="E5" s="11"/>
    </row>
    <row r="6" spans="1:5">
      <c r="A6" s="12"/>
      <c r="B6" s="13" t="s">
        <v>257</v>
      </c>
      <c r="C6" s="14" t="s">
        <v>258</v>
      </c>
      <c r="D6" s="14" t="s">
        <v>259</v>
      </c>
      <c r="E6" s="14" t="s">
        <v>260</v>
      </c>
    </row>
    <row r="7" spans="1:5">
      <c r="A7" s="12"/>
      <c r="B7" s="15" t="s">
        <v>261</v>
      </c>
      <c r="C7" s="16">
        <v>30000</v>
      </c>
      <c r="D7" s="17">
        <v>4</v>
      </c>
      <c r="E7" s="18">
        <f>C7*D7</f>
        <v>120000</v>
      </c>
    </row>
    <row r="8" spans="1:5">
      <c r="A8" s="12"/>
      <c r="B8" s="15" t="s">
        <v>262</v>
      </c>
      <c r="C8" s="16">
        <v>50000</v>
      </c>
      <c r="D8" s="17">
        <v>2</v>
      </c>
      <c r="E8" s="18">
        <f>C8*D8</f>
        <v>100000</v>
      </c>
    </row>
    <row r="9" spans="1:5">
      <c r="A9" s="12"/>
      <c r="B9" s="15" t="s">
        <v>263</v>
      </c>
      <c r="C9" s="16">
        <v>25000</v>
      </c>
      <c r="D9" s="17">
        <v>8</v>
      </c>
      <c r="E9" s="18">
        <f>C9*D9</f>
        <v>200000</v>
      </c>
    </row>
    <row r="10" spans="1:5">
      <c r="A10" s="12"/>
      <c r="B10" s="15" t="s">
        <v>264</v>
      </c>
      <c r="C10" s="16">
        <v>100000</v>
      </c>
      <c r="D10" s="17">
        <v>2</v>
      </c>
      <c r="E10" s="18">
        <f>C10*D10</f>
        <v>200000</v>
      </c>
    </row>
    <row r="11" ht="17.6" spans="1:5">
      <c r="A11" s="12"/>
      <c r="B11" s="19" t="s">
        <v>265</v>
      </c>
      <c r="C11" s="20"/>
      <c r="D11" s="20"/>
      <c r="E11" s="21">
        <f>SUM(E7:E10)</f>
        <v>620000</v>
      </c>
    </row>
    <row r="12" spans="1:5">
      <c r="A12" s="10" t="s">
        <v>266</v>
      </c>
      <c r="B12" s="11"/>
      <c r="C12" s="11"/>
      <c r="D12" s="11"/>
      <c r="E12" s="11"/>
    </row>
    <row r="13" ht="19.5" customHeight="1" spans="1:5">
      <c r="A13" s="12"/>
      <c r="B13" s="22" t="s">
        <v>267</v>
      </c>
      <c r="C13" s="23" t="s">
        <v>268</v>
      </c>
      <c r="D13" s="23"/>
      <c r="E13" s="23"/>
    </row>
    <row r="14" ht="48" customHeight="1" spans="1:5">
      <c r="A14" s="12"/>
      <c r="B14" s="22" t="s">
        <v>269</v>
      </c>
      <c r="C14" s="23" t="s">
        <v>270</v>
      </c>
      <c r="D14" s="23"/>
      <c r="E14" s="23"/>
    </row>
    <row r="15" ht="33.75" customHeight="1" spans="1:5">
      <c r="A15" s="12"/>
      <c r="B15" s="22" t="s">
        <v>271</v>
      </c>
      <c r="C15" s="23" t="s">
        <v>272</v>
      </c>
      <c r="D15" s="23"/>
      <c r="E15" s="23"/>
    </row>
    <row r="16" ht="33.75" customHeight="1" spans="1:5">
      <c r="A16" s="12"/>
      <c r="B16" s="22" t="s">
        <v>273</v>
      </c>
      <c r="C16" s="23" t="s">
        <v>274</v>
      </c>
      <c r="D16" s="23"/>
      <c r="E16" s="23"/>
    </row>
    <row r="17" ht="33.75" customHeight="1" spans="1:5">
      <c r="A17" s="12"/>
      <c r="B17" s="24" t="s">
        <v>275</v>
      </c>
      <c r="C17" s="24"/>
      <c r="D17" s="24"/>
      <c r="E17" s="24"/>
    </row>
  </sheetData>
  <mergeCells count="6">
    <mergeCell ref="C13:E13"/>
    <mergeCell ref="C14:E14"/>
    <mergeCell ref="C15:E15"/>
    <mergeCell ref="C16:E16"/>
    <mergeCell ref="B17:E17"/>
    <mergeCell ref="A1:E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Plan matematikasi</vt:lpstr>
      <vt:lpstr>KPI qoidalari</vt:lpstr>
      <vt:lpstr>KALKULYATOR</vt:lpstr>
      <vt:lpstr>Ssenariylar</vt:lpstr>
      <vt:lpstr>Kunlik norma</vt:lpstr>
      <vt:lpstr>Kelajakda_bolinish</vt:lpstr>
      <vt:lpstr>Geymifikatsiya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2026-08-13T13:27:00Z</dcterms:created>
  <dcterms:modified xsi:type="dcterms:W3CDTF">2026-08-18T00:57:08Z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BA52500E67A7A6FB9467836A6898B220_43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